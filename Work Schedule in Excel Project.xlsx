
<file path=[Content_Types].xml><?xml version="1.0" encoding="utf-8"?>
<Types xmlns="http://schemas.openxmlformats.org/package/2006/content-types">
  <Default Extension="xml" ContentType="application/xml"/>
  <Default Extension="png" ContentType="image/png"/>
  <Default Extension="rels" ContentType="application/vnd.openxmlformats-package.relationships+xml"/>
  <Override PartName="/customXml/itemProps1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metadata.xml" ContentType="application/vnd.openxmlformats-officedocument.spreadsheetml.sheetMetadata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000" activeTab="1"/>
  </bookViews>
  <sheets>
    <sheet name="Cover Page" sheetId="5" r:id="rId1"/>
    <sheet name="January" sheetId="1" r:id="rId2"/>
    <sheet name="February" sheetId="4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<sst xmlns="http://schemas.openxmlformats.org/spreadsheetml/2006/main" count="231" uniqueCount="32">
  <si>
    <t>Work Schedule in Excel</t>
  </si>
  <si>
    <r>
      <rPr>
        <sz val="16"/>
        <color theme="1"/>
        <rFont val="Aptos Narrow"/>
        <charset val="134"/>
        <scheme val="minor"/>
      </rPr>
      <t xml:space="preserve">Get </t>
    </r>
    <r>
      <rPr>
        <b/>
        <sz val="16"/>
        <color theme="1"/>
        <rFont val="Aptos Narrow"/>
        <charset val="134"/>
        <scheme val="minor"/>
      </rPr>
      <t>10% OFF</t>
    </r>
    <r>
      <rPr>
        <sz val="16"/>
        <color theme="1"/>
        <rFont val="Aptos Narrow"/>
        <charset val="134"/>
        <scheme val="minor"/>
      </rPr>
      <t xml:space="preserve"> any of our courses using coupon code </t>
    </r>
    <r>
      <rPr>
        <b/>
        <sz val="16"/>
        <color theme="1"/>
        <rFont val="Aptos Narrow"/>
        <charset val="134"/>
        <scheme val="minor"/>
      </rPr>
      <t>EMAIL10</t>
    </r>
  </si>
  <si>
    <t>All Our Courses</t>
  </si>
  <si>
    <t>Go to Data Here</t>
  </si>
  <si>
    <t>Made by Career Principles Ltd.</t>
  </si>
  <si>
    <t>Note</t>
  </si>
  <si>
    <t>All content is copyright material of Career Principles Ltd.</t>
  </si>
  <si>
    <t>This Excel model may not be reproduced or distributed by any means, including printing, 
screencapturing, or any other method without the prior permission of the publisher.</t>
  </si>
  <si>
    <t>Start Date</t>
  </si>
  <si>
    <t>Shift</t>
  </si>
  <si>
    <t>Description</t>
  </si>
  <si>
    <t>M</t>
  </si>
  <si>
    <t>Morning (6am - 2pm)</t>
  </si>
  <si>
    <t>A</t>
  </si>
  <si>
    <t>Afternoon (2pm-10pm)</t>
  </si>
  <si>
    <t>N</t>
  </si>
  <si>
    <t>Night (10pm-6am)</t>
  </si>
  <si>
    <t>Totals Report</t>
  </si>
  <si>
    <t>Employee Name</t>
  </si>
  <si>
    <t>Weekend</t>
  </si>
  <si>
    <t>Morning</t>
  </si>
  <si>
    <t>Afternoon</t>
  </si>
  <si>
    <t>Night</t>
  </si>
  <si>
    <t>Shifts Worked</t>
  </si>
  <si>
    <t>Sam Smith</t>
  </si>
  <si>
    <t>Layla Lee</t>
  </si>
  <si>
    <t>Michael Wong</t>
  </si>
  <si>
    <t>Alex Yee</t>
  </si>
  <si>
    <t>Sarah Tanky</t>
  </si>
  <si>
    <t>Dirk Wolski</t>
  </si>
  <si>
    <t>Number of Shifts</t>
  </si>
  <si>
    <t>Coverage Check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</si>
</sst>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  <numFmt numFmtId="180" formatCode="dd/mm/yyyy"/>
    <numFmt numFmtId="181" formatCode="d"/>
  </numFmts>
  <fonts count="39">
    <font>
      <sz val="11"/>
      <color theme="1"/>
      <name val="Aptos Narrow"/>
      <charset val="134"/>
      <scheme val="minor"/>
    </font>
    <font>
      <b/>
      <sz val="12"/>
      <color theme="0"/>
      <name val="Aptos Narrow"/>
      <charset val="134"/>
      <scheme val="minor"/>
    </font>
    <font>
      <b/>
      <sz val="18"/>
      <color theme="0"/>
      <name val="Aptos Narrow"/>
      <charset val="134"/>
      <scheme val="minor"/>
    </font>
    <font>
      <b/>
      <sz val="11"/>
      <color theme="1"/>
      <name val="Aptos Narrow"/>
      <charset val="134"/>
      <scheme val="minor"/>
    </font>
    <font>
      <b/>
      <sz val="11"/>
      <color rgb="FF00B050"/>
      <name val="Aptos Narrow"/>
      <charset val="134"/>
      <scheme val="minor"/>
    </font>
    <font>
      <b/>
      <sz val="11"/>
      <color theme="5"/>
      <name val="Aptos Narrow"/>
      <charset val="134"/>
      <scheme val="minor"/>
    </font>
    <font>
      <b/>
      <sz val="11"/>
      <color theme="3" tint="0.249977111117893"/>
      <name val="Aptos Narrow"/>
      <charset val="134"/>
      <scheme val="minor"/>
    </font>
    <font>
      <b/>
      <sz val="11"/>
      <color theme="0"/>
      <name val="Aptos Narrow"/>
      <charset val="134"/>
      <scheme val="minor"/>
    </font>
    <font>
      <i/>
      <sz val="11"/>
      <color theme="1"/>
      <name val="Aptos Narrow"/>
      <charset val="134"/>
      <scheme val="minor"/>
    </font>
    <font>
      <sz val="11"/>
      <color theme="4" tint="0.8"/>
      <name val="Aptos Narrow"/>
      <charset val="134"/>
      <scheme val="minor"/>
    </font>
    <font>
      <b/>
      <sz val="16"/>
      <color theme="0"/>
      <name val="Aptos Narrow"/>
      <charset val="134"/>
      <scheme val="minor"/>
    </font>
    <font>
      <sz val="12"/>
      <color theme="1"/>
      <name val="Aptos Narrow"/>
      <charset val="134"/>
      <scheme val="minor"/>
    </font>
    <font>
      <b/>
      <sz val="58"/>
      <color theme="1"/>
      <name val="Aptos Narrow"/>
      <charset val="134"/>
      <scheme val="minor"/>
    </font>
    <font>
      <b/>
      <sz val="60"/>
      <color theme="1"/>
      <name val="Aptos Narrow"/>
      <charset val="134"/>
      <scheme val="minor"/>
    </font>
    <font>
      <sz val="16"/>
      <color theme="1"/>
      <name val="Aptos Narrow"/>
      <charset val="134"/>
      <scheme val="minor"/>
    </font>
    <font>
      <b/>
      <u/>
      <sz val="22"/>
      <color rgb="FF073673"/>
      <name val="Aptos Narrow"/>
      <charset val="134"/>
      <scheme val="minor"/>
    </font>
    <font>
      <u/>
      <sz val="14"/>
      <color theme="10"/>
      <name val="Aptos Narrow"/>
      <charset val="134"/>
      <scheme val="minor"/>
    </font>
    <font>
      <i/>
      <sz val="14"/>
      <color rgb="FF0432FF"/>
      <name val="Aptos Narrow"/>
      <charset val="134"/>
      <scheme val="minor"/>
    </font>
    <font>
      <u/>
      <sz val="11"/>
      <color theme="10"/>
      <name val="Aptos Narrow"/>
      <charset val="134"/>
      <scheme val="minor"/>
    </font>
    <font>
      <u/>
      <sz val="11"/>
      <color rgb="FF800080"/>
      <name val="Aptos Narrow"/>
      <charset val="0"/>
      <scheme val="minor"/>
    </font>
    <font>
      <sz val="11"/>
      <color rgb="FFFF0000"/>
      <name val="Aptos Narrow"/>
      <charset val="0"/>
      <scheme val="minor"/>
    </font>
    <font>
      <b/>
      <sz val="18"/>
      <color theme="3"/>
      <name val="Aptos Narrow"/>
      <charset val="134"/>
      <scheme val="minor"/>
    </font>
    <font>
      <i/>
      <sz val="11"/>
      <color rgb="FF7F7F7F"/>
      <name val="Aptos Narrow"/>
      <charset val="0"/>
      <scheme val="minor"/>
    </font>
    <font>
      <b/>
      <sz val="15"/>
      <color theme="3"/>
      <name val="Aptos Narrow"/>
      <charset val="134"/>
      <scheme val="minor"/>
    </font>
    <font>
      <b/>
      <sz val="13"/>
      <color theme="3"/>
      <name val="Aptos Narrow"/>
      <charset val="134"/>
      <scheme val="minor"/>
    </font>
    <font>
      <b/>
      <sz val="11"/>
      <color theme="3"/>
      <name val="Aptos Narrow"/>
      <charset val="134"/>
      <scheme val="minor"/>
    </font>
    <font>
      <sz val="11"/>
      <color rgb="FF3F3F76"/>
      <name val="Aptos Narrow"/>
      <charset val="0"/>
      <scheme val="minor"/>
    </font>
    <font>
      <b/>
      <sz val="11"/>
      <color rgb="FF3F3F3F"/>
      <name val="Aptos Narrow"/>
      <charset val="0"/>
      <scheme val="minor"/>
    </font>
    <font>
      <b/>
      <sz val="11"/>
      <color rgb="FFFA7D00"/>
      <name val="Aptos Narrow"/>
      <charset val="0"/>
      <scheme val="minor"/>
    </font>
    <font>
      <b/>
      <sz val="11"/>
      <color rgb="FFFFFFFF"/>
      <name val="Aptos Narrow"/>
      <charset val="0"/>
      <scheme val="minor"/>
    </font>
    <font>
      <sz val="11"/>
      <color rgb="FFFA7D00"/>
      <name val="Aptos Narrow"/>
      <charset val="0"/>
      <scheme val="minor"/>
    </font>
    <font>
      <b/>
      <sz val="11"/>
      <color theme="1"/>
      <name val="Aptos Narrow"/>
      <charset val="0"/>
      <scheme val="minor"/>
    </font>
    <font>
      <sz val="11"/>
      <color rgb="FF006100"/>
      <name val="Aptos Narrow"/>
      <charset val="0"/>
      <scheme val="minor"/>
    </font>
    <font>
      <sz val="11"/>
      <color rgb="FF9C0006"/>
      <name val="Aptos Narrow"/>
      <charset val="0"/>
      <scheme val="minor"/>
    </font>
    <font>
      <sz val="11"/>
      <color rgb="FF9C6500"/>
      <name val="Aptos Narrow"/>
      <charset val="0"/>
      <scheme val="minor"/>
    </font>
    <font>
      <sz val="11"/>
      <color theme="0"/>
      <name val="Aptos Narrow"/>
      <charset val="0"/>
      <scheme val="minor"/>
    </font>
    <font>
      <sz val="11"/>
      <color theme="1"/>
      <name val="Aptos Narrow"/>
      <charset val="0"/>
      <scheme val="minor"/>
    </font>
    <font>
      <u/>
      <sz val="12"/>
      <color theme="10"/>
      <name val="Aptos Narrow"/>
      <charset val="134"/>
      <scheme val="minor"/>
    </font>
    <font>
      <b/>
      <sz val="16"/>
      <color theme="1"/>
      <name val="Aptos Narrow"/>
      <charset val="134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073673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3" tint="0.899990844447157"/>
        <bgColor indexed="64"/>
      </patternFill>
    </fill>
    <fill>
      <patternFill patternType="solid">
        <fgColor theme="3" tint="0.749992370372631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1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thin">
        <color theme="1"/>
      </left>
      <right/>
      <top style="thin">
        <color theme="1"/>
      </top>
      <bottom/>
      <diagonal/>
    </border>
    <border>
      <left/>
      <right/>
      <top style="thin">
        <color theme="1"/>
      </top>
      <bottom/>
      <diagonal/>
    </border>
    <border>
      <left/>
      <right style="thin">
        <color theme="1"/>
      </right>
      <top style="thin">
        <color theme="1"/>
      </top>
      <bottom/>
      <diagonal/>
    </border>
    <border>
      <left style="thin">
        <color theme="1"/>
      </left>
      <right/>
      <top/>
      <bottom/>
      <diagonal/>
    </border>
    <border>
      <left/>
      <right style="thin">
        <color theme="1"/>
      </right>
      <top/>
      <bottom/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/>
      <right/>
      <top/>
      <bottom style="thin">
        <color theme="1"/>
      </bottom>
      <diagonal/>
    </border>
    <border>
      <left style="thin">
        <color theme="1"/>
      </left>
      <right/>
      <top/>
      <bottom style="thin">
        <color theme="1"/>
      </bottom>
      <diagonal/>
    </border>
    <border>
      <left/>
      <right style="thin">
        <color theme="1"/>
      </right>
      <top/>
      <bottom style="thin">
        <color theme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1">
    <xf numFmtId="0" fontId="0" fillId="0" borderId="0"/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>
      <alignment vertical="center"/>
    </xf>
    <xf numFmtId="0" fontId="0" fillId="7" borderId="13" applyNumberFormat="0" applyFont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3" fillId="0" borderId="14" applyNumberFormat="0" applyFill="0" applyAlignment="0" applyProtection="0">
      <alignment vertical="center"/>
    </xf>
    <xf numFmtId="0" fontId="24" fillId="0" borderId="14" applyNumberFormat="0" applyFill="0" applyAlignment="0" applyProtection="0">
      <alignment vertical="center"/>
    </xf>
    <xf numFmtId="0" fontId="25" fillId="0" borderId="15" applyNumberFormat="0" applyFill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26" fillId="8" borderId="16" applyNumberFormat="0" applyAlignment="0" applyProtection="0">
      <alignment vertical="center"/>
    </xf>
    <xf numFmtId="0" fontId="27" fillId="9" borderId="17" applyNumberFormat="0" applyAlignment="0" applyProtection="0">
      <alignment vertical="center"/>
    </xf>
    <xf numFmtId="0" fontId="28" fillId="9" borderId="16" applyNumberFormat="0" applyAlignment="0" applyProtection="0">
      <alignment vertical="center"/>
    </xf>
    <xf numFmtId="0" fontId="29" fillId="10" borderId="18" applyNumberFormat="0" applyAlignment="0" applyProtection="0">
      <alignment vertical="center"/>
    </xf>
    <xf numFmtId="0" fontId="30" fillId="0" borderId="19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2" fillId="11" borderId="0" applyNumberFormat="0" applyBorder="0" applyAlignment="0" applyProtection="0">
      <alignment vertical="center"/>
    </xf>
    <xf numFmtId="0" fontId="33" fillId="12" borderId="0" applyNumberFormat="0" applyBorder="0" applyAlignment="0" applyProtection="0">
      <alignment vertical="center"/>
    </xf>
    <xf numFmtId="0" fontId="34" fillId="13" borderId="0" applyNumberFormat="0" applyBorder="0" applyAlignment="0" applyProtection="0">
      <alignment vertical="center"/>
    </xf>
    <xf numFmtId="0" fontId="35" fillId="14" borderId="0" applyNumberFormat="0" applyBorder="0" applyAlignment="0" applyProtection="0">
      <alignment vertical="center"/>
    </xf>
    <xf numFmtId="0" fontId="36" fillId="15" borderId="0" applyNumberFormat="0" applyBorder="0" applyAlignment="0" applyProtection="0">
      <alignment vertical="center"/>
    </xf>
    <xf numFmtId="0" fontId="36" fillId="16" borderId="0" applyNumberFormat="0" applyBorder="0" applyAlignment="0" applyProtection="0">
      <alignment vertical="center"/>
    </xf>
    <xf numFmtId="0" fontId="35" fillId="17" borderId="0" applyNumberFormat="0" applyBorder="0" applyAlignment="0" applyProtection="0">
      <alignment vertical="center"/>
    </xf>
    <xf numFmtId="0" fontId="35" fillId="18" borderId="0" applyNumberFormat="0" applyBorder="0" applyAlignment="0" applyProtection="0">
      <alignment vertical="center"/>
    </xf>
    <xf numFmtId="0" fontId="36" fillId="4" borderId="0" applyNumberFormat="0" applyBorder="0" applyAlignment="0" applyProtection="0">
      <alignment vertical="center"/>
    </xf>
    <xf numFmtId="0" fontId="36" fillId="19" borderId="0" applyNumberFormat="0" applyBorder="0" applyAlignment="0" applyProtection="0">
      <alignment vertical="center"/>
    </xf>
    <xf numFmtId="0" fontId="35" fillId="20" borderId="0" applyNumberFormat="0" applyBorder="0" applyAlignment="0" applyProtection="0">
      <alignment vertical="center"/>
    </xf>
    <xf numFmtId="0" fontId="35" fillId="21" borderId="0" applyNumberFormat="0" applyBorder="0" applyAlignment="0" applyProtection="0">
      <alignment vertical="center"/>
    </xf>
    <xf numFmtId="0" fontId="36" fillId="3" borderId="0" applyNumberFormat="0" applyBorder="0" applyAlignment="0" applyProtection="0">
      <alignment vertical="center"/>
    </xf>
    <xf numFmtId="0" fontId="36" fillId="22" borderId="0" applyNumberFormat="0" applyBorder="0" applyAlignment="0" applyProtection="0">
      <alignment vertical="center"/>
    </xf>
    <xf numFmtId="0" fontId="35" fillId="23" borderId="0" applyNumberFormat="0" applyBorder="0" applyAlignment="0" applyProtection="0">
      <alignment vertical="center"/>
    </xf>
    <xf numFmtId="0" fontId="35" fillId="24" borderId="0" applyNumberFormat="0" applyBorder="0" applyAlignment="0" applyProtection="0">
      <alignment vertical="center"/>
    </xf>
    <xf numFmtId="0" fontId="36" fillId="25" borderId="0" applyNumberFormat="0" applyBorder="0" applyAlignment="0" applyProtection="0">
      <alignment vertical="center"/>
    </xf>
    <xf numFmtId="0" fontId="36" fillId="26" borderId="0" applyNumberFormat="0" applyBorder="0" applyAlignment="0" applyProtection="0">
      <alignment vertical="center"/>
    </xf>
    <xf numFmtId="0" fontId="35" fillId="27" borderId="0" applyNumberFormat="0" applyBorder="0" applyAlignment="0" applyProtection="0">
      <alignment vertical="center"/>
    </xf>
    <xf numFmtId="0" fontId="35" fillId="28" borderId="0" applyNumberFormat="0" applyBorder="0" applyAlignment="0" applyProtection="0">
      <alignment vertical="center"/>
    </xf>
    <xf numFmtId="0" fontId="36" fillId="29" borderId="0" applyNumberFormat="0" applyBorder="0" applyAlignment="0" applyProtection="0">
      <alignment vertical="center"/>
    </xf>
    <xf numFmtId="0" fontId="36" fillId="30" borderId="0" applyNumberFormat="0" applyBorder="0" applyAlignment="0" applyProtection="0">
      <alignment vertical="center"/>
    </xf>
    <xf numFmtId="0" fontId="35" fillId="31" borderId="0" applyNumberFormat="0" applyBorder="0" applyAlignment="0" applyProtection="0">
      <alignment vertical="center"/>
    </xf>
    <xf numFmtId="0" fontId="35" fillId="32" borderId="0" applyNumberFormat="0" applyBorder="0" applyAlignment="0" applyProtection="0">
      <alignment vertical="center"/>
    </xf>
    <xf numFmtId="0" fontId="36" fillId="33" borderId="0" applyNumberFormat="0" applyBorder="0" applyAlignment="0" applyProtection="0">
      <alignment vertical="center"/>
    </xf>
    <xf numFmtId="0" fontId="36" fillId="34" borderId="0" applyNumberFormat="0" applyBorder="0" applyAlignment="0" applyProtection="0">
      <alignment vertical="center"/>
    </xf>
    <xf numFmtId="0" fontId="35" fillId="35" borderId="0" applyNumberFormat="0" applyBorder="0" applyAlignment="0" applyProtection="0">
      <alignment vertical="center"/>
    </xf>
    <xf numFmtId="0" fontId="37" fillId="0" borderId="0" applyNumberFormat="0" applyFill="0" applyBorder="0" applyAlignment="0" applyProtection="0"/>
    <xf numFmtId="0" fontId="11" fillId="0" borderId="0"/>
  </cellStyleXfs>
  <cellXfs count="53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1" fillId="2" borderId="0" xfId="0" applyFont="1" applyFill="1"/>
    <xf numFmtId="0" fontId="1" fillId="2" borderId="0" xfId="0" applyFont="1" applyFill="1" applyAlignment="1">
      <alignment horizontal="center"/>
    </xf>
    <xf numFmtId="0" fontId="2" fillId="2" borderId="0" xfId="0" applyFont="1" applyFill="1" applyAlignment="1"/>
    <xf numFmtId="0" fontId="0" fillId="0" borderId="1" xfId="0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3" fillId="0" borderId="1" xfId="0" applyFont="1" applyBorder="1" applyAlignment="1">
      <alignment horizontal="left"/>
    </xf>
    <xf numFmtId="180" fontId="3" fillId="0" borderId="2" xfId="0" applyNumberFormat="1" applyFont="1" applyBorder="1" applyAlignment="1">
      <alignment horizontal="center"/>
    </xf>
    <xf numFmtId="0" fontId="4" fillId="3" borderId="0" xfId="0" applyFont="1" applyFill="1" applyAlignment="1">
      <alignment horizontal="center" vertical="center"/>
    </xf>
    <xf numFmtId="0" fontId="0" fillId="3" borderId="0" xfId="0" applyFill="1" applyAlignment="1">
      <alignment horizontal="left"/>
    </xf>
    <xf numFmtId="0" fontId="0" fillId="3" borderId="0" xfId="0" applyFill="1" applyAlignment="1">
      <alignment horizontal="center"/>
    </xf>
    <xf numFmtId="0" fontId="5" fillId="4" borderId="0" xfId="0" applyFont="1" applyFill="1" applyAlignment="1">
      <alignment horizontal="center" vertical="center"/>
    </xf>
    <xf numFmtId="0" fontId="0" fillId="4" borderId="0" xfId="0" applyFill="1" applyAlignment="1">
      <alignment horizontal="left"/>
    </xf>
    <xf numFmtId="0" fontId="0" fillId="4" borderId="0" xfId="0" applyFill="1" applyAlignment="1">
      <alignment horizontal="center"/>
    </xf>
    <xf numFmtId="0" fontId="6" fillId="5" borderId="0" xfId="0" applyFont="1" applyFill="1" applyAlignment="1">
      <alignment horizontal="center" vertical="center"/>
    </xf>
    <xf numFmtId="0" fontId="0" fillId="5" borderId="0" xfId="0" applyFill="1" applyAlignment="1">
      <alignment horizontal="left"/>
    </xf>
    <xf numFmtId="0" fontId="0" fillId="5" borderId="0" xfId="0" applyFill="1" applyAlignment="1">
      <alignment horizontal="center"/>
    </xf>
    <xf numFmtId="0" fontId="7" fillId="2" borderId="0" xfId="0" applyFont="1" applyFill="1"/>
    <xf numFmtId="181" fontId="7" fillId="2" borderId="0" xfId="0" applyNumberFormat="1" applyFont="1" applyFill="1" applyAlignment="1">
      <alignment horizontal="center"/>
    </xf>
    <xf numFmtId="0" fontId="3" fillId="6" borderId="0" xfId="0" applyFont="1" applyFill="1"/>
    <xf numFmtId="0" fontId="3" fillId="6" borderId="0" xfId="0" applyFont="1" applyFill="1" applyAlignment="1">
      <alignment horizontal="center"/>
    </xf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3" fillId="0" borderId="3" xfId="0" applyFont="1" applyBorder="1" applyAlignment="1">
      <alignment vertical="center"/>
    </xf>
    <xf numFmtId="0" fontId="3" fillId="0" borderId="3" xfId="0" applyFont="1" applyBorder="1" applyAlignment="1">
      <alignment horizontal="center" vertical="center"/>
    </xf>
    <xf numFmtId="0" fontId="8" fillId="0" borderId="3" xfId="0" applyFont="1" applyBorder="1" applyAlignment="1">
      <alignment vertical="center"/>
    </xf>
    <xf numFmtId="0" fontId="8" fillId="0" borderId="3" xfId="0" applyFont="1" applyBorder="1" applyAlignment="1">
      <alignment horizontal="center" vertical="center"/>
    </xf>
    <xf numFmtId="0" fontId="3" fillId="0" borderId="0" xfId="0" applyFont="1" applyAlignment="1">
      <alignment horizontal="center"/>
    </xf>
    <xf numFmtId="0" fontId="9" fillId="0" borderId="0" xfId="0" applyFont="1" applyAlignment="1">
      <alignment horizontal="center" vertical="center"/>
    </xf>
    <xf numFmtId="0" fontId="2" fillId="2" borderId="0" xfId="0" applyFont="1" applyFill="1"/>
    <xf numFmtId="0" fontId="10" fillId="2" borderId="0" xfId="0" applyFont="1" applyFill="1"/>
    <xf numFmtId="0" fontId="11" fillId="2" borderId="0" xfId="50" applyFill="1" applyAlignment="1">
      <alignment vertical="center"/>
    </xf>
    <xf numFmtId="0" fontId="11" fillId="2" borderId="0" xfId="50" applyFill="1"/>
    <xf numFmtId="0" fontId="11" fillId="0" borderId="4" xfId="50" applyBorder="1"/>
    <xf numFmtId="0" fontId="12" fillId="0" borderId="5" xfId="50" applyFont="1" applyBorder="1" applyAlignment="1">
      <alignment horizontal="center" vertical="center"/>
    </xf>
    <xf numFmtId="0" fontId="11" fillId="0" borderId="6" xfId="50" applyBorder="1"/>
    <xf numFmtId="0" fontId="11" fillId="0" borderId="7" xfId="50" applyBorder="1"/>
    <xf numFmtId="0" fontId="13" fillId="0" borderId="0" xfId="50" applyFont="1" applyAlignment="1">
      <alignment horizontal="center" vertical="center"/>
    </xf>
    <xf numFmtId="0" fontId="11" fillId="0" borderId="8" xfId="50" applyBorder="1"/>
    <xf numFmtId="0" fontId="11" fillId="0" borderId="0" xfId="50"/>
    <xf numFmtId="0" fontId="14" fillId="0" borderId="0" xfId="50" applyFont="1" applyAlignment="1">
      <alignment horizontal="center"/>
    </xf>
    <xf numFmtId="0" fontId="11" fillId="0" borderId="7" xfId="50" applyBorder="1" applyAlignment="1">
      <alignment vertical="center"/>
    </xf>
    <xf numFmtId="0" fontId="15" fillId="4" borderId="9" xfId="49" applyFont="1" applyFill="1" applyBorder="1" applyAlignment="1">
      <alignment horizontal="center" vertical="center"/>
    </xf>
    <xf numFmtId="0" fontId="11" fillId="0" borderId="8" xfId="50" applyBorder="1" applyAlignment="1">
      <alignment vertical="center"/>
    </xf>
    <xf numFmtId="0" fontId="16" fillId="0" borderId="0" xfId="6" applyFont="1"/>
    <xf numFmtId="0" fontId="17" fillId="0" borderId="0" xfId="49" applyFont="1" applyFill="1" applyBorder="1"/>
    <xf numFmtId="0" fontId="3" fillId="0" borderId="10" xfId="50" applyFont="1" applyBorder="1"/>
    <xf numFmtId="0" fontId="11" fillId="0" borderId="0" xfId="50" applyAlignment="1">
      <alignment vertical="top" wrapText="1"/>
    </xf>
    <xf numFmtId="0" fontId="11" fillId="0" borderId="11" xfId="50" applyBorder="1"/>
    <xf numFmtId="0" fontId="11" fillId="0" borderId="10" xfId="50" applyBorder="1"/>
    <xf numFmtId="0" fontId="11" fillId="0" borderId="12" xfId="50" applyBorder="1"/>
  </cellXfs>
  <cellStyles count="51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  <cellStyle name="Hyperlink 2" xfId="49"/>
    <cellStyle name="Normal 2 2" xfId="50"/>
  </cellStyles>
  <dxfs count="4">
    <dxf>
      <border>
        <left style="thin">
          <color rgb="FFFF0000"/>
        </left>
        <right style="thin">
          <color rgb="FFFF0000"/>
        </right>
      </border>
    </dxf>
    <dxf>
      <font>
        <b val="1"/>
        <i val="0"/>
        <color rgb="FF00B050"/>
      </font>
      <fill>
        <patternFill patternType="solid">
          <bgColor theme="9" tint="0.799981688894314"/>
        </patternFill>
      </fill>
    </dxf>
    <dxf>
      <font>
        <b val="1"/>
        <i val="0"/>
        <color theme="5"/>
      </font>
      <fill>
        <patternFill patternType="solid">
          <bgColor theme="5" tint="0.799981688894314"/>
        </patternFill>
      </fill>
    </dxf>
    <dxf>
      <font>
        <b val="1"/>
        <i val="0"/>
        <color theme="3" tint="0.249946592608417"/>
      </font>
      <fill>
        <patternFill patternType="solid">
          <bgColor theme="3" tint="0.899960325937681"/>
        </patternFill>
      </fill>
    </dxf>
  </dxfs>
  <tableStyles count="0" defaultTableStyle="TableStyleMedium2" defaultPivotStyle="PivotStyleLight16"/>
  <colors>
    <mruColors>
      <color rgb="00073673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sheetMetadata" Target="metadata.xml"/><Relationship Id="rId6" Type="http://schemas.openxmlformats.org/officeDocument/2006/relationships/sharedStrings" Target="sharedStrings.xml"/><Relationship Id="rId5" Type="http://schemas.openxmlformats.org/officeDocument/2006/relationships/theme" Target="theme/theme1.xml"/><Relationship Id="rId4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hyperlink" Target="https://www.careerprinciples.com/" TargetMode="Externa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oneCellAnchor>
    <xdr:from>
      <xdr:col>2</xdr:col>
      <xdr:colOff>2487126</xdr:colOff>
      <xdr:row>3</xdr:row>
      <xdr:rowOff>68813</xdr:rowOff>
    </xdr:from>
    <xdr:ext cx="2648507" cy="921414"/>
    <xdr:pic>
      <xdr:nvPicPr>
        <xdr:cNvPr id="2" name="Picture 1">
          <a:hlinkClick xmlns:r="http://schemas.openxmlformats.org/officeDocument/2006/relationships" r:id="rId1"/>
        </xdr:cNvPr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3959860" y="1379220"/>
          <a:ext cx="2648585" cy="921385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youtube.com/c/KenjiExplains/featured" TargetMode="External"/><Relationship Id="rId2" Type="http://schemas.openxmlformats.org/officeDocument/2006/relationships/hyperlink" Target="https://www.careerprinciples.com/all-courses" TargetMode="Externa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3:D18"/>
  <sheetViews>
    <sheetView showGridLines="0" zoomScale="110" zoomScaleNormal="110" workbookViewId="0">
      <selection activeCell="C9" sqref="C9"/>
    </sheetView>
  </sheetViews>
  <sheetFormatPr defaultColWidth="10.8333333333333" defaultRowHeight="15" outlineLevelCol="3"/>
  <cols>
    <col min="1" max="1" width="10.8333333333333" style="34"/>
    <col min="2" max="2" width="8.5" style="34" customWidth="1"/>
    <col min="3" max="3" width="95.6666666666667" style="34" customWidth="1"/>
    <col min="4" max="4" width="9.5" style="34" customWidth="1"/>
    <col min="5" max="16384" width="10.8333333333333" style="34"/>
  </cols>
  <sheetData>
    <row r="3" ht="73.2" spans="2:4">
      <c r="B3" s="35"/>
      <c r="C3" s="36" t="s">
        <v>0</v>
      </c>
      <c r="D3" s="37"/>
    </row>
    <row r="4" ht="42" customHeight="1" spans="2:4">
      <c r="B4" s="38"/>
      <c r="C4" s="39"/>
      <c r="D4" s="40"/>
    </row>
    <row r="5" ht="32" customHeight="1" spans="2:4">
      <c r="B5" s="38"/>
      <c r="C5" s="39"/>
      <c r="D5" s="40"/>
    </row>
    <row r="6" ht="11" customHeight="1" spans="2:4">
      <c r="B6" s="38"/>
      <c r="C6" s="41"/>
      <c r="D6" s="40"/>
    </row>
    <row r="7" ht="21" spans="2:4">
      <c r="B7" s="38"/>
      <c r="C7" s="42" t="s">
        <v>1</v>
      </c>
      <c r="D7" s="40"/>
    </row>
    <row r="8" ht="11" customHeight="1" spans="2:4">
      <c r="B8" s="38"/>
      <c r="C8" s="41"/>
      <c r="D8" s="40"/>
    </row>
    <row r="9" s="33" customFormat="1" ht="28.2" spans="2:4">
      <c r="B9" s="43"/>
      <c r="C9" s="44" t="s">
        <v>2</v>
      </c>
      <c r="D9" s="45"/>
    </row>
    <row r="10" spans="2:4">
      <c r="B10" s="38"/>
      <c r="C10" s="41"/>
      <c r="D10" s="40"/>
    </row>
    <row r="11" ht="17.4" spans="2:4">
      <c r="B11" s="38"/>
      <c r="C11" s="46" t="s">
        <v>3</v>
      </c>
      <c r="D11" s="40"/>
    </row>
    <row r="12" ht="6" customHeight="1" spans="2:4">
      <c r="B12" s="38"/>
      <c r="C12" s="41"/>
      <c r="D12" s="40"/>
    </row>
    <row r="13" ht="17.4" spans="2:4">
      <c r="B13" s="38"/>
      <c r="C13" s="47" t="s">
        <v>4</v>
      </c>
      <c r="D13" s="40"/>
    </row>
    <row r="14" ht="8" customHeight="1" spans="2:4">
      <c r="B14" s="38"/>
      <c r="C14" s="41"/>
      <c r="D14" s="40"/>
    </row>
    <row r="15" spans="2:4">
      <c r="B15" s="38"/>
      <c r="C15" s="48" t="s">
        <v>5</v>
      </c>
      <c r="D15" s="40"/>
    </row>
    <row r="16" spans="2:4">
      <c r="B16" s="38"/>
      <c r="C16" s="41" t="s">
        <v>6</v>
      </c>
      <c r="D16" s="40"/>
    </row>
    <row r="17" ht="30" spans="2:4">
      <c r="B17" s="38"/>
      <c r="C17" s="49" t="s">
        <v>7</v>
      </c>
      <c r="D17" s="40"/>
    </row>
    <row r="18" spans="2:4">
      <c r="B18" s="50"/>
      <c r="C18" s="51"/>
      <c r="D18" s="52"/>
    </row>
  </sheetData>
  <sheetProtection algorithmName="SHA-512" hashValue="FBwYFEXe91+B/kLre2/e9/aCwV4krFDmk7WZ6+7vaB6yAJ1WuEVjkJAXeVH/YMABlOyZrpBep6MZdPUX5g6pXQ==" saltValue="jFVZuJlkC3XMHCIm/J015Q==" spinCount="100000" sheet="1" objects="1" scenarios="1"/>
  <hyperlinks>
    <hyperlink ref="C9" r:id="rId2" display="All Our Courses"/>
    <hyperlink ref="C11" location="January!A1" display="Go to Data Here"/>
    <hyperlink ref="C13" r:id="rId3" display="Made by Career Principles Ltd."/>
  </hyperlinks>
  <pageMargins left="0.7" right="0.7" top="0.75" bottom="0.75" header="0.3" footer="0.3"/>
  <pageSetup paperSize="1" orientation="portrait"/>
  <headerFooter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autoPageBreaks="0"/>
  </sheetPr>
  <dimension ref="A1:AM24"/>
  <sheetViews>
    <sheetView tabSelected="1" zoomScale="85" zoomScaleNormal="85" workbookViewId="0">
      <pane xSplit="2" ySplit="3" topLeftCell="C4" activePane="bottomRight" state="frozen"/>
      <selection/>
      <selection pane="topRight"/>
      <selection pane="bottomLeft"/>
      <selection pane="bottomRight" activeCell="Y3" sqref="Y3"/>
    </sheetView>
  </sheetViews>
  <sheetFormatPr defaultColWidth="8.83333333333333" defaultRowHeight="13.8"/>
  <cols>
    <col min="1" max="1" width="3.5" customWidth="1"/>
    <col min="2" max="2" width="19.8666666666667" customWidth="1"/>
    <col min="3" max="33" width="7.83333333333333" style="2" customWidth="1"/>
    <col min="34" max="34" width="8.83333333333333" style="2"/>
    <col min="35" max="35" width="10" style="2" customWidth="1"/>
    <col min="36" max="37" width="8.83333333333333" style="2"/>
    <col min="38" max="38" width="8" style="2" customWidth="1"/>
    <col min="39" max="39" width="12.6666666666667" style="2" customWidth="1"/>
    <col min="40" max="16384" width="8.83333333333333" style="2"/>
  </cols>
  <sheetData>
    <row r="1" s="1" customFormat="1" ht="7.25" customHeight="1" spans="1:39">
      <c r="A1" s="3"/>
      <c r="B1" s="3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  <c r="AK1" s="4"/>
      <c r="AL1" s="4"/>
      <c r="AM1" s="4"/>
    </row>
    <row r="2" s="1" customFormat="1" ht="22.8" spans="1:39">
      <c r="A2" s="3"/>
      <c r="B2" s="31" t="str">
        <f>"Monthly Work Schedule "&amp;TEXT(B6,"mmmm yyyy")</f>
        <v>Monthly Work Schedule January 2026</v>
      </c>
      <c r="C2" s="32"/>
      <c r="D2" s="32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4"/>
      <c r="AC2" s="4"/>
      <c r="AD2" s="4"/>
      <c r="AE2" s="4"/>
      <c r="AF2" s="4"/>
      <c r="AG2" s="4"/>
      <c r="AH2" s="4"/>
      <c r="AI2" s="4"/>
      <c r="AJ2" s="4"/>
      <c r="AK2" s="4"/>
      <c r="AL2" s="4"/>
      <c r="AM2" s="4"/>
    </row>
    <row r="3" s="1" customFormat="1" ht="7.25" customHeight="1" spans="1:39">
      <c r="A3" s="3"/>
      <c r="B3" s="3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  <c r="AB3" s="4"/>
      <c r="AC3" s="4"/>
      <c r="AD3" s="4"/>
      <c r="AE3" s="4"/>
      <c r="AF3" s="4"/>
      <c r="AG3" s="4"/>
      <c r="AH3" s="4"/>
      <c r="AI3" s="4"/>
      <c r="AJ3" s="4"/>
      <c r="AK3" s="4"/>
      <c r="AL3" s="4"/>
      <c r="AM3" s="4"/>
    </row>
    <row r="5" spans="2:13">
      <c r="B5" s="6" t="s">
        <v>8</v>
      </c>
      <c r="D5" s="7" t="s">
        <v>9</v>
      </c>
      <c r="E5" s="8" t="s">
        <v>10</v>
      </c>
      <c r="F5" s="7"/>
      <c r="G5" s="7"/>
      <c r="M5" s="29"/>
    </row>
    <row r="6" spans="2:13">
      <c r="B6" s="9">
        <v>46023</v>
      </c>
      <c r="D6" s="10" t="s">
        <v>11</v>
      </c>
      <c r="E6" s="11" t="s">
        <v>12</v>
      </c>
      <c r="F6" s="12"/>
      <c r="G6" s="12"/>
      <c r="M6" s="29"/>
    </row>
    <row r="7" spans="4:13">
      <c r="D7" s="13" t="s">
        <v>13</v>
      </c>
      <c r="E7" s="14" t="s">
        <v>14</v>
      </c>
      <c r="F7" s="15"/>
      <c r="G7" s="15"/>
      <c r="M7" s="29"/>
    </row>
    <row r="8" spans="4:13">
      <c r="D8" s="16" t="s">
        <v>15</v>
      </c>
      <c r="E8" s="17" t="s">
        <v>16</v>
      </c>
      <c r="F8" s="18"/>
      <c r="G8" s="18"/>
      <c r="M8" s="29"/>
    </row>
    <row r="10" spans="2:39">
      <c r="B10" s="19"/>
      <c r="C10" s="20" cm="1">
        <f t="array" ref="C10:AG10">_xlfn.SEQUENCE(1,EOMONTH(B6,0)-B6+1,B6)</f>
        <v>46023</v>
      </c>
      <c r="D10" s="20">
        <v>46024</v>
      </c>
      <c r="E10" s="20">
        <v>46025</v>
      </c>
      <c r="F10" s="20">
        <v>46026</v>
      </c>
      <c r="G10" s="20">
        <v>46027</v>
      </c>
      <c r="H10" s="20">
        <v>46028</v>
      </c>
      <c r="I10" s="20">
        <v>46029</v>
      </c>
      <c r="J10" s="20">
        <v>46030</v>
      </c>
      <c r="K10" s="20">
        <v>46031</v>
      </c>
      <c r="L10" s="20">
        <v>46032</v>
      </c>
      <c r="M10" s="20">
        <v>46033</v>
      </c>
      <c r="N10" s="20">
        <v>46034</v>
      </c>
      <c r="O10" s="20">
        <v>46035</v>
      </c>
      <c r="P10" s="20">
        <v>46036</v>
      </c>
      <c r="Q10" s="20">
        <v>46037</v>
      </c>
      <c r="R10" s="20">
        <v>46038</v>
      </c>
      <c r="S10" s="20">
        <v>46039</v>
      </c>
      <c r="T10" s="20">
        <v>46040</v>
      </c>
      <c r="U10" s="20">
        <v>46041</v>
      </c>
      <c r="V10" s="20">
        <v>46042</v>
      </c>
      <c r="W10" s="20">
        <v>46043</v>
      </c>
      <c r="X10" s="20">
        <v>46044</v>
      </c>
      <c r="Y10" s="20">
        <v>46045</v>
      </c>
      <c r="Z10" s="20">
        <v>46046</v>
      </c>
      <c r="AA10" s="20">
        <v>46047</v>
      </c>
      <c r="AB10" s="20">
        <v>46048</v>
      </c>
      <c r="AC10" s="20">
        <v>46049</v>
      </c>
      <c r="AD10" s="20">
        <v>46050</v>
      </c>
      <c r="AE10" s="20">
        <v>46051</v>
      </c>
      <c r="AF10" s="20">
        <v>46052</v>
      </c>
      <c r="AG10" s="20">
        <v>46053</v>
      </c>
      <c r="AI10" s="20" t="s">
        <v>17</v>
      </c>
      <c r="AJ10" s="20"/>
      <c r="AK10" s="20"/>
      <c r="AL10" s="20"/>
      <c r="AM10" s="20"/>
    </row>
    <row r="11" spans="2:39">
      <c r="B11" s="21" t="s">
        <v>18</v>
      </c>
      <c r="C11" s="22" t="str">
        <f>TEXT(C10,"ddd")</f>
        <v>Thu</v>
      </c>
      <c r="D11" s="22" t="str">
        <f t="shared" ref="D11:AG11" si="0">TEXT(D10,"ddd")</f>
        <v>Fri</v>
      </c>
      <c r="E11" s="22" t="str">
        <f t="shared" si="0"/>
        <v>Sat</v>
      </c>
      <c r="F11" s="22" t="str">
        <f t="shared" si="0"/>
        <v>Sun</v>
      </c>
      <c r="G11" s="22" t="str">
        <f t="shared" si="0"/>
        <v>Mon</v>
      </c>
      <c r="H11" s="22" t="str">
        <f t="shared" si="0"/>
        <v>Tue</v>
      </c>
      <c r="I11" s="22" t="str">
        <f t="shared" si="0"/>
        <v>Wed</v>
      </c>
      <c r="J11" s="22" t="str">
        <f t="shared" si="0"/>
        <v>Thu</v>
      </c>
      <c r="K11" s="22" t="str">
        <f t="shared" si="0"/>
        <v>Fri</v>
      </c>
      <c r="L11" s="22" t="str">
        <f t="shared" si="0"/>
        <v>Sat</v>
      </c>
      <c r="M11" s="22" t="str">
        <f t="shared" si="0"/>
        <v>Sun</v>
      </c>
      <c r="N11" s="22" t="str">
        <f t="shared" si="0"/>
        <v>Mon</v>
      </c>
      <c r="O11" s="22" t="str">
        <f t="shared" si="0"/>
        <v>Tue</v>
      </c>
      <c r="P11" s="22" t="str">
        <f t="shared" si="0"/>
        <v>Wed</v>
      </c>
      <c r="Q11" s="22" t="str">
        <f t="shared" si="0"/>
        <v>Thu</v>
      </c>
      <c r="R11" s="22" t="str">
        <f t="shared" si="0"/>
        <v>Fri</v>
      </c>
      <c r="S11" s="22" t="str">
        <f t="shared" si="0"/>
        <v>Sat</v>
      </c>
      <c r="T11" s="22" t="str">
        <f t="shared" si="0"/>
        <v>Sun</v>
      </c>
      <c r="U11" s="22" t="str">
        <f t="shared" si="0"/>
        <v>Mon</v>
      </c>
      <c r="V11" s="22" t="str">
        <f t="shared" si="0"/>
        <v>Tue</v>
      </c>
      <c r="W11" s="22" t="str">
        <f t="shared" si="0"/>
        <v>Wed</v>
      </c>
      <c r="X11" s="22" t="str">
        <f t="shared" si="0"/>
        <v>Thu</v>
      </c>
      <c r="Y11" s="22" t="str">
        <f t="shared" si="0"/>
        <v>Fri</v>
      </c>
      <c r="Z11" s="22" t="str">
        <f t="shared" si="0"/>
        <v>Sat</v>
      </c>
      <c r="AA11" s="22" t="str">
        <f t="shared" si="0"/>
        <v>Sun</v>
      </c>
      <c r="AB11" s="22" t="str">
        <f t="shared" si="0"/>
        <v>Mon</v>
      </c>
      <c r="AC11" s="22" t="str">
        <f t="shared" si="0"/>
        <v>Tue</v>
      </c>
      <c r="AD11" s="22" t="str">
        <f t="shared" si="0"/>
        <v>Wed</v>
      </c>
      <c r="AE11" s="22" t="str">
        <f t="shared" si="0"/>
        <v>Thu</v>
      </c>
      <c r="AF11" s="22" t="str">
        <f t="shared" si="0"/>
        <v>Fri</v>
      </c>
      <c r="AG11" s="22" t="str">
        <f t="shared" si="0"/>
        <v>Sat</v>
      </c>
      <c r="AI11" s="22" t="s">
        <v>19</v>
      </c>
      <c r="AJ11" s="22" t="s">
        <v>20</v>
      </c>
      <c r="AK11" s="22" t="s">
        <v>21</v>
      </c>
      <c r="AL11" s="22" t="s">
        <v>22</v>
      </c>
      <c r="AM11" s="22" t="s">
        <v>23</v>
      </c>
    </row>
    <row r="12" ht="22" customHeight="1" spans="2:39">
      <c r="B12" s="23" t="s">
        <v>24</v>
      </c>
      <c r="C12" s="24" t="s">
        <v>11</v>
      </c>
      <c r="D12" s="24" t="s">
        <v>11</v>
      </c>
      <c r="E12" s="24" t="s">
        <v>11</v>
      </c>
      <c r="F12" s="24" t="s">
        <v>11</v>
      </c>
      <c r="G12" s="24" t="s">
        <v>11</v>
      </c>
      <c r="H12" s="24"/>
      <c r="I12" s="24"/>
      <c r="J12" s="24" t="s">
        <v>13</v>
      </c>
      <c r="K12" s="24" t="s">
        <v>13</v>
      </c>
      <c r="L12" s="24" t="s">
        <v>13</v>
      </c>
      <c r="M12" s="24" t="s">
        <v>13</v>
      </c>
      <c r="N12" s="24" t="s">
        <v>13</v>
      </c>
      <c r="O12" s="24" t="s">
        <v>13</v>
      </c>
      <c r="P12" s="24"/>
      <c r="Q12" s="24" t="s">
        <v>13</v>
      </c>
      <c r="R12" s="24" t="s">
        <v>13</v>
      </c>
      <c r="S12" s="24" t="s">
        <v>13</v>
      </c>
      <c r="T12" s="24" t="s">
        <v>13</v>
      </c>
      <c r="U12" s="24" t="s">
        <v>13</v>
      </c>
      <c r="V12" s="24" t="s">
        <v>13</v>
      </c>
      <c r="W12" s="24"/>
      <c r="X12" s="24"/>
      <c r="Y12" s="24"/>
      <c r="Z12" s="24" t="s">
        <v>11</v>
      </c>
      <c r="AA12" s="24" t="s">
        <v>11</v>
      </c>
      <c r="AB12" s="24" t="s">
        <v>11</v>
      </c>
      <c r="AC12" s="24" t="s">
        <v>11</v>
      </c>
      <c r="AD12" s="24" t="s">
        <v>11</v>
      </c>
      <c r="AE12" s="24" t="s">
        <v>11</v>
      </c>
      <c r="AF12" s="24"/>
      <c r="AG12" s="24"/>
      <c r="AI12" s="24" cm="1">
        <f t="array" ref="AI12">SUMPRODUCT(($C$11:$AG$11="Sat")+($C$11:$AG$11="Sun"),--(C12:AG12&lt;&gt;""))</f>
        <v>8</v>
      </c>
      <c r="AJ12" s="24">
        <f t="shared" ref="AJ12:AJ17" si="1">COUNTIF(C12:AG12,"M")</f>
        <v>11</v>
      </c>
      <c r="AK12" s="24">
        <f t="shared" ref="AK12:AK17" si="2">COUNTIF(C12:AG12,"A")</f>
        <v>12</v>
      </c>
      <c r="AL12" s="24">
        <f t="shared" ref="AL12:AL17" si="3">COUNTIF(C12:AG12,"N")</f>
        <v>0</v>
      </c>
      <c r="AM12" s="24">
        <f>SUM(AJ12:AL12)</f>
        <v>23</v>
      </c>
    </row>
    <row r="13" ht="22" customHeight="1" spans="2:39">
      <c r="B13" s="23" t="s">
        <v>25</v>
      </c>
      <c r="C13" s="24"/>
      <c r="D13" s="24" t="s">
        <v>13</v>
      </c>
      <c r="E13" s="24" t="s">
        <v>15</v>
      </c>
      <c r="F13" s="24" t="s">
        <v>15</v>
      </c>
      <c r="G13" s="24" t="s">
        <v>15</v>
      </c>
      <c r="H13" s="24" t="s">
        <v>15</v>
      </c>
      <c r="I13" s="24"/>
      <c r="J13" s="24"/>
      <c r="K13" s="24"/>
      <c r="L13" s="24"/>
      <c r="M13" s="24"/>
      <c r="N13" s="24"/>
      <c r="O13" s="24"/>
      <c r="P13" s="24"/>
      <c r="Q13" s="24"/>
      <c r="R13" s="24"/>
      <c r="S13" s="24"/>
      <c r="T13" s="24"/>
      <c r="U13" s="24"/>
      <c r="V13" s="24"/>
      <c r="W13" s="24"/>
      <c r="X13" s="24"/>
      <c r="Y13" s="24"/>
      <c r="Z13" s="24" t="s">
        <v>15</v>
      </c>
      <c r="AA13" s="24" t="s">
        <v>15</v>
      </c>
      <c r="AB13" s="24" t="s">
        <v>15</v>
      </c>
      <c r="AC13" s="24" t="s">
        <v>15</v>
      </c>
      <c r="AD13" s="24" t="s">
        <v>15</v>
      </c>
      <c r="AE13" s="24" t="s">
        <v>15</v>
      </c>
      <c r="AF13" s="24"/>
      <c r="AG13" s="24"/>
      <c r="AI13" s="24" cm="1">
        <f t="array" ref="AI13">SUMPRODUCT(($C$11:$AG$11="Sat")+($C$11:$AG$11="Sun"),--(C13:AG13&lt;&gt;""))</f>
        <v>4</v>
      </c>
      <c r="AJ13" s="24">
        <f t="shared" si="1"/>
        <v>0</v>
      </c>
      <c r="AK13" s="24">
        <f t="shared" si="2"/>
        <v>1</v>
      </c>
      <c r="AL13" s="24">
        <f t="shared" si="3"/>
        <v>10</v>
      </c>
      <c r="AM13" s="24">
        <f t="shared" ref="AM13:AM17" si="4">SUM(AJ13:AL13)</f>
        <v>11</v>
      </c>
    </row>
    <row r="14" ht="22" customHeight="1" spans="2:39">
      <c r="B14" s="23" t="s">
        <v>26</v>
      </c>
      <c r="C14" s="24" t="s">
        <v>13</v>
      </c>
      <c r="D14" s="2"/>
      <c r="E14" s="24" t="s">
        <v>13</v>
      </c>
      <c r="F14" s="24" t="s">
        <v>13</v>
      </c>
      <c r="G14" s="24" t="s">
        <v>11</v>
      </c>
      <c r="H14" s="24" t="s">
        <v>13</v>
      </c>
      <c r="I14" s="24"/>
      <c r="J14" s="24" t="s">
        <v>11</v>
      </c>
      <c r="K14" s="24" t="s">
        <v>11</v>
      </c>
      <c r="L14" s="24" t="s">
        <v>11</v>
      </c>
      <c r="M14" s="24" t="s">
        <v>13</v>
      </c>
      <c r="N14" s="24" t="s">
        <v>13</v>
      </c>
      <c r="O14" s="24" t="s">
        <v>11</v>
      </c>
      <c r="P14" s="24"/>
      <c r="Q14" s="24" t="s">
        <v>11</v>
      </c>
      <c r="R14" s="24" t="s">
        <v>11</v>
      </c>
      <c r="S14" s="24" t="s">
        <v>11</v>
      </c>
      <c r="T14" s="24" t="s">
        <v>11</v>
      </c>
      <c r="U14" s="24" t="s">
        <v>11</v>
      </c>
      <c r="V14" s="24" t="s">
        <v>11</v>
      </c>
      <c r="W14" s="24"/>
      <c r="X14" s="24"/>
      <c r="Y14" s="24"/>
      <c r="Z14" s="24"/>
      <c r="AA14" s="24"/>
      <c r="AB14" s="24"/>
      <c r="AC14" s="24"/>
      <c r="AD14" s="24"/>
      <c r="AE14" s="24"/>
      <c r="AF14" s="24"/>
      <c r="AG14" s="24"/>
      <c r="AI14" s="24" cm="1">
        <f t="array" ref="AI14">SUMPRODUCT(($C$11:$AG$11="Sat")+($C$11:$AG$11="Sun"),--(C14:AG14&lt;&gt;""))</f>
        <v>6</v>
      </c>
      <c r="AJ14" s="24">
        <f t="shared" si="1"/>
        <v>11</v>
      </c>
      <c r="AK14" s="24">
        <f t="shared" si="2"/>
        <v>6</v>
      </c>
      <c r="AL14" s="24">
        <f t="shared" si="3"/>
        <v>0</v>
      </c>
      <c r="AM14" s="24">
        <f t="shared" si="4"/>
        <v>17</v>
      </c>
    </row>
    <row r="15" ht="22" customHeight="1" spans="2:39">
      <c r="B15" s="23" t="s">
        <v>27</v>
      </c>
      <c r="C15" s="24" t="s">
        <v>15</v>
      </c>
      <c r="E15" s="24"/>
      <c r="F15" s="24" t="s">
        <v>13</v>
      </c>
      <c r="G15" s="24" t="s">
        <v>13</v>
      </c>
      <c r="H15" s="24" t="s">
        <v>13</v>
      </c>
      <c r="I15" s="24" t="s">
        <v>13</v>
      </c>
      <c r="J15" s="24" t="s">
        <v>15</v>
      </c>
      <c r="K15" s="24" t="s">
        <v>15</v>
      </c>
      <c r="L15" s="24" t="s">
        <v>15</v>
      </c>
      <c r="M15" s="24" t="s">
        <v>15</v>
      </c>
      <c r="N15" s="24" t="s">
        <v>15</v>
      </c>
      <c r="O15" s="24" t="s">
        <v>15</v>
      </c>
      <c r="P15" s="24"/>
      <c r="Q15" s="24" t="s">
        <v>15</v>
      </c>
      <c r="R15" s="24" t="s">
        <v>15</v>
      </c>
      <c r="S15" s="24" t="s">
        <v>15</v>
      </c>
      <c r="T15" s="24" t="s">
        <v>15</v>
      </c>
      <c r="U15" s="24" t="s">
        <v>15</v>
      </c>
      <c r="V15" s="24" t="s">
        <v>15</v>
      </c>
      <c r="W15" s="24" t="s">
        <v>11</v>
      </c>
      <c r="X15" s="24" t="s">
        <v>13</v>
      </c>
      <c r="Y15" s="24" t="s">
        <v>13</v>
      </c>
      <c r="Z15" s="24" t="s">
        <v>11</v>
      </c>
      <c r="AA15" s="24"/>
      <c r="AB15" s="24"/>
      <c r="AC15" s="24"/>
      <c r="AD15" s="24"/>
      <c r="AE15" s="24"/>
      <c r="AF15" s="24"/>
      <c r="AG15" s="24"/>
      <c r="AI15" s="24" cm="1">
        <f t="array" ref="AI15">SUMPRODUCT(($C$11:$AG$11="Sat")+($C$11:$AG$11="Sun"),--(C15:AG15&lt;&gt;""))</f>
        <v>6</v>
      </c>
      <c r="AJ15" s="24">
        <f t="shared" si="1"/>
        <v>2</v>
      </c>
      <c r="AK15" s="24">
        <f t="shared" si="2"/>
        <v>6</v>
      </c>
      <c r="AL15" s="24">
        <f t="shared" si="3"/>
        <v>13</v>
      </c>
      <c r="AM15" s="24">
        <f t="shared" si="4"/>
        <v>21</v>
      </c>
    </row>
    <row r="16" ht="22" customHeight="1" spans="2:39">
      <c r="B16" s="23" t="s">
        <v>28</v>
      </c>
      <c r="C16" s="24"/>
      <c r="D16" s="24"/>
      <c r="E16" s="24"/>
      <c r="F16" s="24"/>
      <c r="G16" s="24"/>
      <c r="H16" s="24"/>
      <c r="I16" s="24"/>
      <c r="J16" s="24" t="s">
        <v>13</v>
      </c>
      <c r="K16" s="24" t="s">
        <v>13</v>
      </c>
      <c r="L16" s="24" t="s">
        <v>13</v>
      </c>
      <c r="M16" s="24" t="s">
        <v>13</v>
      </c>
      <c r="N16" s="24" t="s">
        <v>13</v>
      </c>
      <c r="O16" s="24"/>
      <c r="P16" s="24"/>
      <c r="Q16" s="24"/>
      <c r="R16" s="24"/>
      <c r="S16" s="24"/>
      <c r="T16" s="24"/>
      <c r="U16" s="24"/>
      <c r="V16" s="24"/>
      <c r="W16" s="24" t="s">
        <v>15</v>
      </c>
      <c r="X16" s="24" t="s">
        <v>15</v>
      </c>
      <c r="Y16" s="24" t="s">
        <v>15</v>
      </c>
      <c r="Z16" s="24" t="s">
        <v>15</v>
      </c>
      <c r="AA16" s="24"/>
      <c r="AB16" s="24"/>
      <c r="AC16" s="24"/>
      <c r="AD16" s="24"/>
      <c r="AE16" s="24"/>
      <c r="AF16" s="24"/>
      <c r="AG16" s="24"/>
      <c r="AI16" s="24" cm="1">
        <f t="array" ref="AI16">SUMPRODUCT(($C$11:$AG$11="Sat")+($C$11:$AG$11="Sun"),--(C16:AG16&lt;&gt;""))</f>
        <v>3</v>
      </c>
      <c r="AJ16" s="24">
        <f t="shared" si="1"/>
        <v>0</v>
      </c>
      <c r="AK16" s="24">
        <f t="shared" si="2"/>
        <v>5</v>
      </c>
      <c r="AL16" s="24">
        <f t="shared" si="3"/>
        <v>4</v>
      </c>
      <c r="AM16" s="24">
        <f t="shared" si="4"/>
        <v>9</v>
      </c>
    </row>
    <row r="17" ht="22" customHeight="1" spans="2:39">
      <c r="B17" s="23" t="s">
        <v>29</v>
      </c>
      <c r="C17" s="24"/>
      <c r="D17" s="24" t="s">
        <v>11</v>
      </c>
      <c r="E17" s="24" t="s">
        <v>11</v>
      </c>
      <c r="F17" s="24" t="s">
        <v>11</v>
      </c>
      <c r="G17" s="24" t="s">
        <v>11</v>
      </c>
      <c r="H17" s="24"/>
      <c r="I17" s="24"/>
      <c r="J17" s="24"/>
      <c r="K17" s="24"/>
      <c r="L17" s="24"/>
      <c r="M17" s="24"/>
      <c r="N17" s="24"/>
      <c r="O17" s="24"/>
      <c r="P17" s="24"/>
      <c r="Q17" s="24"/>
      <c r="R17" s="24"/>
      <c r="S17" s="24"/>
      <c r="T17" s="24"/>
      <c r="U17" s="24"/>
      <c r="V17" s="24"/>
      <c r="W17" s="24" t="s">
        <v>13</v>
      </c>
      <c r="X17" s="24" t="s">
        <v>13</v>
      </c>
      <c r="Y17" s="24" t="s">
        <v>13</v>
      </c>
      <c r="Z17" s="24"/>
      <c r="AA17" s="24"/>
      <c r="AB17" s="24"/>
      <c r="AC17" s="24"/>
      <c r="AD17" s="24"/>
      <c r="AE17" s="24"/>
      <c r="AF17" s="24"/>
      <c r="AG17" s="24"/>
      <c r="AI17" s="24" cm="1">
        <f t="array" ref="AI17">SUMPRODUCT(($C$11:$AG$11="Sat")+($C$11:$AG$11="Sun"),--(C17:AG17&lt;&gt;""))</f>
        <v>2</v>
      </c>
      <c r="AJ17" s="24">
        <f t="shared" si="1"/>
        <v>4</v>
      </c>
      <c r="AK17" s="24">
        <f t="shared" si="2"/>
        <v>3</v>
      </c>
      <c r="AL17" s="24">
        <f t="shared" si="3"/>
        <v>0</v>
      </c>
      <c r="AM17" s="24">
        <f t="shared" si="4"/>
        <v>7</v>
      </c>
    </row>
    <row r="18" ht="22" customHeight="1" spans="2:38">
      <c r="B18" s="25" t="s">
        <v>30</v>
      </c>
      <c r="C18" s="26">
        <f>COUNTA(C12:C17)</f>
        <v>3</v>
      </c>
      <c r="D18" s="26">
        <f t="shared" ref="D18:AG18" si="5">COUNTA(D12:D17)</f>
        <v>3</v>
      </c>
      <c r="E18" s="26">
        <f t="shared" si="5"/>
        <v>4</v>
      </c>
      <c r="F18" s="26">
        <f t="shared" si="5"/>
        <v>5</v>
      </c>
      <c r="G18" s="26">
        <f t="shared" si="5"/>
        <v>5</v>
      </c>
      <c r="H18" s="26">
        <f t="shared" si="5"/>
        <v>3</v>
      </c>
      <c r="I18" s="26">
        <f t="shared" si="5"/>
        <v>1</v>
      </c>
      <c r="J18" s="26">
        <f t="shared" si="5"/>
        <v>4</v>
      </c>
      <c r="K18" s="26">
        <f t="shared" si="5"/>
        <v>4</v>
      </c>
      <c r="L18" s="26">
        <f t="shared" si="5"/>
        <v>4</v>
      </c>
      <c r="M18" s="26">
        <f t="shared" si="5"/>
        <v>4</v>
      </c>
      <c r="N18" s="26">
        <f t="shared" si="5"/>
        <v>4</v>
      </c>
      <c r="O18" s="26">
        <f t="shared" si="5"/>
        <v>3</v>
      </c>
      <c r="P18" s="26">
        <f t="shared" si="5"/>
        <v>0</v>
      </c>
      <c r="Q18" s="26">
        <f t="shared" si="5"/>
        <v>3</v>
      </c>
      <c r="R18" s="26">
        <f t="shared" si="5"/>
        <v>3</v>
      </c>
      <c r="S18" s="26">
        <f t="shared" si="5"/>
        <v>3</v>
      </c>
      <c r="T18" s="26">
        <f t="shared" si="5"/>
        <v>3</v>
      </c>
      <c r="U18" s="26">
        <f t="shared" si="5"/>
        <v>3</v>
      </c>
      <c r="V18" s="26">
        <f t="shared" si="5"/>
        <v>3</v>
      </c>
      <c r="W18" s="26">
        <f t="shared" si="5"/>
        <v>3</v>
      </c>
      <c r="X18" s="26">
        <f t="shared" si="5"/>
        <v>3</v>
      </c>
      <c r="Y18" s="26">
        <f t="shared" si="5"/>
        <v>3</v>
      </c>
      <c r="Z18" s="26">
        <f t="shared" si="5"/>
        <v>4</v>
      </c>
      <c r="AA18" s="26">
        <f t="shared" si="5"/>
        <v>2</v>
      </c>
      <c r="AB18" s="26">
        <f t="shared" si="5"/>
        <v>2</v>
      </c>
      <c r="AC18" s="26">
        <f t="shared" si="5"/>
        <v>2</v>
      </c>
      <c r="AD18" s="26">
        <f t="shared" si="5"/>
        <v>2</v>
      </c>
      <c r="AE18" s="26">
        <f t="shared" si="5"/>
        <v>2</v>
      </c>
      <c r="AF18" s="26">
        <f t="shared" si="5"/>
        <v>0</v>
      </c>
      <c r="AG18" s="26">
        <f t="shared" si="5"/>
        <v>0</v>
      </c>
      <c r="AI18" s="24"/>
      <c r="AJ18" s="24"/>
      <c r="AK18" s="24"/>
      <c r="AL18" s="24"/>
    </row>
    <row r="19" ht="16.75" customHeight="1" spans="2:33">
      <c r="B19" s="27"/>
      <c r="C19" s="28"/>
      <c r="D19" s="28"/>
      <c r="E19" s="28"/>
      <c r="F19" s="28"/>
      <c r="G19" s="28"/>
      <c r="H19" s="28"/>
      <c r="I19" s="28"/>
      <c r="J19" s="28"/>
      <c r="K19" s="28"/>
      <c r="L19" s="28"/>
      <c r="M19" s="28"/>
      <c r="N19" s="28"/>
      <c r="O19" s="28"/>
      <c r="P19" s="28"/>
      <c r="Q19" s="28"/>
      <c r="R19" s="28"/>
      <c r="S19" s="28"/>
      <c r="T19" s="28"/>
      <c r="U19" s="28"/>
      <c r="V19" s="28"/>
      <c r="W19" s="28"/>
      <c r="X19" s="28"/>
      <c r="Y19" s="28"/>
      <c r="Z19" s="28"/>
      <c r="AA19" s="28"/>
      <c r="AB19" s="28"/>
      <c r="AC19" s="28"/>
      <c r="AD19" s="28"/>
      <c r="AE19" s="28"/>
      <c r="AF19" s="28"/>
      <c r="AG19" s="28"/>
    </row>
    <row r="21" spans="2:2">
      <c r="B21" s="2"/>
    </row>
    <row r="22" spans="2:2">
      <c r="B22" s="2"/>
    </row>
    <row r="23" spans="2:2">
      <c r="B23" s="2"/>
    </row>
    <row r="24" spans="2:2">
      <c r="B24" s="2"/>
    </row>
  </sheetData>
  <mergeCells count="1">
    <mergeCell ref="AI10:AM10"/>
  </mergeCells>
  <conditionalFormatting sqref="AI12:AI17">
    <cfRule type="dataBar" priority="2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{463817af-b177-45df-8eea-6d3403327f68}</x14:id>
        </ext>
      </extLst>
    </cfRule>
  </conditionalFormatting>
  <conditionalFormatting sqref="AM12:AM17">
    <cfRule type="dataBar" priority="3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{b246f0e9-e8b3-4b90-ae0d-5a80adfa5daa}</x14:id>
        </ext>
      </extLst>
    </cfRule>
  </conditionalFormatting>
  <conditionalFormatting sqref="C10:AG19">
    <cfRule type="expression" dxfId="0" priority="1">
      <formula>C$10=TODAY()</formula>
    </cfRule>
  </conditionalFormatting>
  <conditionalFormatting sqref="C12:N13 O12:AG14 C14:C15 E14:N15 O15:V15 C16:V17 W15:AG17">
    <cfRule type="cellIs" dxfId="1" priority="4" operator="equal">
      <formula>"M"</formula>
    </cfRule>
    <cfRule type="cellIs" dxfId="2" priority="5" operator="equal">
      <formula>"A"</formula>
    </cfRule>
    <cfRule type="cellIs" dxfId="3" priority="6" operator="equal">
      <formula>"N"</formula>
    </cfRule>
  </conditionalFormatting>
  <dataValidations count="1">
    <dataValidation type="list" allowBlank="1" showInputMessage="1" showErrorMessage="1" sqref="D16 F16:G16 D17:G17 C14:C17 E14:E16 C12:N13 F14:I15 H16:I17 J14:N17 O12:AG17">
      <formula1>$D$6:$D$8</formula1>
    </dataValidation>
  </dataValidations>
  <pageMargins left="0.7" right="0.7" top="0.75" bottom="0.75" header="0.3" footer="0.3"/>
  <pageSetup paperSize="1" orientation="portrait"/>
  <headerFooter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463817af-b177-45df-8eea-6d3403327f68}">
            <x14:dataBar minLength="0" maxLength="100" border="1" negativeBarBorderColorSameAsPositive="0">
              <x14:cfvo type="autoMin"/>
              <x14:cfvo type="autoMax"/>
              <x14:borderColor rgb="FFFFB628"/>
              <x14:negativeFillColor rgb="FFFF0000"/>
              <x14:negativeBorderColor rgb="FFFF0000"/>
              <x14:axisColor rgb="FF000000"/>
            </x14:dataBar>
          </x14:cfRule>
          <xm:sqref>AI12:AI17</xm:sqref>
        </x14:conditionalFormatting>
        <x14:conditionalFormatting xmlns:xm="http://schemas.microsoft.com/office/excel/2006/main">
          <x14:cfRule type="dataBar" id="{b246f0e9-e8b3-4b90-ae0d-5a80adfa5daa}">
            <x14:dataBar minLength="0" maxLength="100" border="1" negativeBarBorderColorSameAsPositive="0">
              <x14:cfvo type="autoMin"/>
              <x14:cfvo type="autoMax"/>
              <x14:borderColor rgb="FFFFB628"/>
              <x14:negativeFillColor rgb="FFFF0000"/>
              <x14:negativeBorderColor rgb="FFFF0000"/>
              <x14:axisColor rgb="FF000000"/>
            </x14:dataBar>
          </x14:cfRule>
          <xm:sqref>AM12:AM17</xm:sqref>
        </x14:conditionalFormatting>
      </x14:conditionalFormatting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autoPageBreaks="0"/>
  </sheetPr>
  <dimension ref="A1:AJ24"/>
  <sheetViews>
    <sheetView zoomScale="85" zoomScaleNormal="85" workbookViewId="0">
      <pane xSplit="2" topLeftCell="C1" activePane="topRight" state="frozen"/>
      <selection/>
      <selection pane="topRight" activeCell="N8" sqref="N8"/>
    </sheetView>
  </sheetViews>
  <sheetFormatPr defaultColWidth="8.83333333333333" defaultRowHeight="13.8"/>
  <cols>
    <col min="1" max="1" width="3.5" customWidth="1"/>
    <col min="2" max="2" width="25.525" customWidth="1"/>
    <col min="3" max="30" width="7.83333333333333" style="2" customWidth="1"/>
    <col min="31" max="31" width="8.83333333333333" style="2"/>
    <col min="32" max="32" width="10" style="2" customWidth="1"/>
    <col min="33" max="34" width="8.83333333333333" style="2"/>
    <col min="35" max="35" width="8" style="2" customWidth="1"/>
    <col min="36" max="36" width="12.6666666666667" style="2" customWidth="1"/>
    <col min="37" max="16384" width="8.83333333333333" style="2"/>
  </cols>
  <sheetData>
    <row r="1" s="1" customFormat="1" ht="7.25" customHeight="1" spans="1:36">
      <c r="A1" s="3"/>
      <c r="B1" s="3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</row>
    <row r="2" s="1" customFormat="1" ht="22.8" spans="1:36">
      <c r="A2" s="3"/>
      <c r="B2" s="5" t="str">
        <f>"Monthly Work Schedule "&amp;TEXT(B6,"mmmm yyyy")</f>
        <v>Monthly Work Schedule February 2026</v>
      </c>
      <c r="C2" s="5"/>
      <c r="D2" s="5"/>
      <c r="E2" s="5"/>
      <c r="F2" s="5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4"/>
      <c r="AC2" s="4"/>
      <c r="AD2" s="4"/>
      <c r="AE2" s="4"/>
      <c r="AF2" s="4"/>
      <c r="AG2" s="4"/>
      <c r="AH2" s="4"/>
      <c r="AI2" s="4"/>
      <c r="AJ2" s="4"/>
    </row>
    <row r="3" s="1" customFormat="1" ht="7.25" customHeight="1" spans="1:36">
      <c r="A3" s="3"/>
      <c r="B3" s="3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  <c r="AB3" s="4"/>
      <c r="AC3" s="4"/>
      <c r="AD3" s="4"/>
      <c r="AE3" s="4"/>
      <c r="AF3" s="4"/>
      <c r="AG3" s="4"/>
      <c r="AH3" s="4"/>
      <c r="AI3" s="4"/>
      <c r="AJ3" s="4"/>
    </row>
    <row r="5" spans="2:13">
      <c r="B5" s="6" t="s">
        <v>8</v>
      </c>
      <c r="D5" s="7" t="s">
        <v>9</v>
      </c>
      <c r="E5" s="8" t="s">
        <v>10</v>
      </c>
      <c r="F5" s="7"/>
      <c r="G5" s="7"/>
      <c r="M5" s="29"/>
    </row>
    <row r="6" spans="2:13">
      <c r="B6" s="9">
        <v>46054</v>
      </c>
      <c r="D6" s="10" t="s">
        <v>11</v>
      </c>
      <c r="E6" s="11" t="s">
        <v>12</v>
      </c>
      <c r="F6" s="12"/>
      <c r="G6" s="12"/>
      <c r="M6" s="29"/>
    </row>
    <row r="7" spans="4:13">
      <c r="D7" s="13" t="s">
        <v>13</v>
      </c>
      <c r="E7" s="14" t="s">
        <v>14</v>
      </c>
      <c r="F7" s="15"/>
      <c r="G7" s="15"/>
      <c r="M7" s="29"/>
    </row>
    <row r="8" spans="4:13">
      <c r="D8" s="16" t="s">
        <v>15</v>
      </c>
      <c r="E8" s="17" t="s">
        <v>16</v>
      </c>
      <c r="F8" s="18"/>
      <c r="G8" s="18"/>
      <c r="M8" s="29"/>
    </row>
    <row r="10" spans="2:36">
      <c r="B10" s="19"/>
      <c r="C10" s="20" cm="1">
        <f t="array" ref="C10:AD10">_xlfn.SEQUENCE(1,EOMONTH(B6,0)-B6+1,B6)</f>
        <v>46054</v>
      </c>
      <c r="D10" s="20">
        <v>46055</v>
      </c>
      <c r="E10" s="20">
        <v>46056</v>
      </c>
      <c r="F10" s="20">
        <v>46057</v>
      </c>
      <c r="G10" s="20">
        <v>46058</v>
      </c>
      <c r="H10" s="20">
        <v>46059</v>
      </c>
      <c r="I10" s="20">
        <v>46060</v>
      </c>
      <c r="J10" s="20">
        <v>46061</v>
      </c>
      <c r="K10" s="20">
        <v>46062</v>
      </c>
      <c r="L10" s="20">
        <v>46063</v>
      </c>
      <c r="M10" s="20">
        <v>46064</v>
      </c>
      <c r="N10" s="20">
        <v>46065</v>
      </c>
      <c r="O10" s="20">
        <v>46066</v>
      </c>
      <c r="P10" s="20">
        <v>46067</v>
      </c>
      <c r="Q10" s="20">
        <v>46068</v>
      </c>
      <c r="R10" s="20">
        <v>46069</v>
      </c>
      <c r="S10" s="20">
        <v>46070</v>
      </c>
      <c r="T10" s="20">
        <v>46071</v>
      </c>
      <c r="U10" s="20">
        <v>46072</v>
      </c>
      <c r="V10" s="20">
        <v>46073</v>
      </c>
      <c r="W10" s="20">
        <v>46074</v>
      </c>
      <c r="X10" s="20">
        <v>46075</v>
      </c>
      <c r="Y10" s="20">
        <v>46076</v>
      </c>
      <c r="Z10" s="20">
        <v>46077</v>
      </c>
      <c r="AA10" s="20">
        <v>46078</v>
      </c>
      <c r="AB10" s="20">
        <v>46079</v>
      </c>
      <c r="AC10" s="20">
        <v>46080</v>
      </c>
      <c r="AD10" s="20">
        <v>46081</v>
      </c>
      <c r="AF10" s="20" t="s">
        <v>17</v>
      </c>
      <c r="AG10" s="20"/>
      <c r="AH10" s="20"/>
      <c r="AI10" s="20"/>
      <c r="AJ10" s="20"/>
    </row>
    <row r="11" spans="2:36">
      <c r="B11" s="21" t="s">
        <v>18</v>
      </c>
      <c r="C11" s="22" t="str">
        <f>TEXT(C10,"ddd")</f>
        <v>Sun</v>
      </c>
      <c r="D11" s="22" t="str">
        <f t="shared" ref="D11:AD11" si="0">TEXT(D10,"ddd")</f>
        <v>Mon</v>
      </c>
      <c r="E11" s="22" t="str">
        <f t="shared" si="0"/>
        <v>Tue</v>
      </c>
      <c r="F11" s="22" t="str">
        <f t="shared" si="0"/>
        <v>Wed</v>
      </c>
      <c r="G11" s="22" t="str">
        <f t="shared" si="0"/>
        <v>Thu</v>
      </c>
      <c r="H11" s="22" t="str">
        <f t="shared" si="0"/>
        <v>Fri</v>
      </c>
      <c r="I11" s="22" t="str">
        <f t="shared" si="0"/>
        <v>Sat</v>
      </c>
      <c r="J11" s="22" t="str">
        <f t="shared" si="0"/>
        <v>Sun</v>
      </c>
      <c r="K11" s="22" t="str">
        <f t="shared" si="0"/>
        <v>Mon</v>
      </c>
      <c r="L11" s="22" t="str">
        <f t="shared" si="0"/>
        <v>Tue</v>
      </c>
      <c r="M11" s="22" t="str">
        <f t="shared" si="0"/>
        <v>Wed</v>
      </c>
      <c r="N11" s="22" t="str">
        <f t="shared" si="0"/>
        <v>Thu</v>
      </c>
      <c r="O11" s="22" t="str">
        <f t="shared" si="0"/>
        <v>Fri</v>
      </c>
      <c r="P11" s="22" t="str">
        <f t="shared" si="0"/>
        <v>Sat</v>
      </c>
      <c r="Q11" s="22" t="str">
        <f t="shared" si="0"/>
        <v>Sun</v>
      </c>
      <c r="R11" s="22" t="str">
        <f t="shared" si="0"/>
        <v>Mon</v>
      </c>
      <c r="S11" s="22" t="str">
        <f t="shared" si="0"/>
        <v>Tue</v>
      </c>
      <c r="T11" s="22" t="str">
        <f t="shared" si="0"/>
        <v>Wed</v>
      </c>
      <c r="U11" s="22" t="str">
        <f t="shared" si="0"/>
        <v>Thu</v>
      </c>
      <c r="V11" s="22" t="str">
        <f t="shared" si="0"/>
        <v>Fri</v>
      </c>
      <c r="W11" s="22" t="str">
        <f t="shared" si="0"/>
        <v>Sat</v>
      </c>
      <c r="X11" s="22" t="str">
        <f t="shared" si="0"/>
        <v>Sun</v>
      </c>
      <c r="Y11" s="22" t="str">
        <f t="shared" si="0"/>
        <v>Mon</v>
      </c>
      <c r="Z11" s="22" t="str">
        <f t="shared" si="0"/>
        <v>Tue</v>
      </c>
      <c r="AA11" s="22" t="str">
        <f t="shared" si="0"/>
        <v>Wed</v>
      </c>
      <c r="AB11" s="22" t="str">
        <f t="shared" si="0"/>
        <v>Thu</v>
      </c>
      <c r="AC11" s="22" t="str">
        <f t="shared" si="0"/>
        <v>Fri</v>
      </c>
      <c r="AD11" s="22" t="str">
        <f t="shared" si="0"/>
        <v>Sat</v>
      </c>
      <c r="AF11" s="22" t="s">
        <v>19</v>
      </c>
      <c r="AG11" s="22" t="s">
        <v>20</v>
      </c>
      <c r="AH11" s="22" t="s">
        <v>21</v>
      </c>
      <c r="AI11" s="22" t="s">
        <v>22</v>
      </c>
      <c r="AJ11" s="22" t="s">
        <v>23</v>
      </c>
    </row>
    <row r="12" ht="22" customHeight="1" spans="2:36">
      <c r="B12" s="23" t="s">
        <v>24</v>
      </c>
      <c r="C12" s="24"/>
      <c r="D12" s="24"/>
      <c r="E12" s="24" t="s">
        <v>11</v>
      </c>
      <c r="F12" s="24" t="s">
        <v>11</v>
      </c>
      <c r="G12" s="24" t="s">
        <v>11</v>
      </c>
      <c r="H12" s="24"/>
      <c r="I12" s="24"/>
      <c r="J12" s="24" t="s">
        <v>13</v>
      </c>
      <c r="K12" s="24" t="s">
        <v>11</v>
      </c>
      <c r="L12" s="24" t="s">
        <v>11</v>
      </c>
      <c r="M12" s="24" t="s">
        <v>11</v>
      </c>
      <c r="N12" s="24" t="s">
        <v>11</v>
      </c>
      <c r="O12" s="24" t="s">
        <v>11</v>
      </c>
      <c r="P12" s="24"/>
      <c r="Q12" s="24" t="s">
        <v>13</v>
      </c>
      <c r="R12" s="24" t="s">
        <v>13</v>
      </c>
      <c r="S12" s="24" t="s">
        <v>13</v>
      </c>
      <c r="T12" s="24" t="s">
        <v>13</v>
      </c>
      <c r="U12" s="24" t="s">
        <v>13</v>
      </c>
      <c r="V12" s="24" t="s">
        <v>13</v>
      </c>
      <c r="W12" s="24"/>
      <c r="X12" s="24"/>
      <c r="Y12" s="24"/>
      <c r="Z12" s="24" t="s">
        <v>11</v>
      </c>
      <c r="AA12" s="24" t="s">
        <v>11</v>
      </c>
      <c r="AB12" s="24" t="s">
        <v>11</v>
      </c>
      <c r="AC12" s="24" t="s">
        <v>11</v>
      </c>
      <c r="AD12" s="24" t="s">
        <v>11</v>
      </c>
      <c r="AF12" s="24" cm="1">
        <f t="array" ref="AF12">SUMPRODUCT(($C$11:$AD$11="Sat")+($C$11:$AD$11="Sun"),--(C12:AD12&lt;&gt;""))</f>
        <v>3</v>
      </c>
      <c r="AG12" s="24">
        <f t="shared" ref="AG12:AG17" si="1">COUNTIF(C12:AD12,"M")</f>
        <v>13</v>
      </c>
      <c r="AH12" s="24">
        <f t="shared" ref="AH12:AH17" si="2">COUNTIF(C12:AD12,"A")</f>
        <v>7</v>
      </c>
      <c r="AI12" s="24">
        <f t="shared" ref="AI12:AI17" si="3">COUNTIF(C12:AD12,"N")</f>
        <v>0</v>
      </c>
      <c r="AJ12" s="24">
        <f>SUM(AG12:AI12)</f>
        <v>20</v>
      </c>
    </row>
    <row r="13" ht="22" customHeight="1" spans="2:36">
      <c r="B13" s="23" t="s">
        <v>25</v>
      </c>
      <c r="C13" s="24" t="s">
        <v>13</v>
      </c>
      <c r="D13" s="24" t="s">
        <v>13</v>
      </c>
      <c r="E13" s="24" t="s">
        <v>15</v>
      </c>
      <c r="F13" s="24"/>
      <c r="G13" s="24" t="s">
        <v>15</v>
      </c>
      <c r="H13" s="24"/>
      <c r="I13" s="24"/>
      <c r="J13" s="24"/>
      <c r="K13" s="24" t="s">
        <v>15</v>
      </c>
      <c r="L13" s="24" t="s">
        <v>15</v>
      </c>
      <c r="M13" s="24" t="s">
        <v>15</v>
      </c>
      <c r="N13" s="24" t="s">
        <v>15</v>
      </c>
      <c r="O13" s="24" t="s">
        <v>15</v>
      </c>
      <c r="P13" s="24" t="s">
        <v>11</v>
      </c>
      <c r="Q13" s="24"/>
      <c r="R13" s="24"/>
      <c r="S13" s="24"/>
      <c r="T13" s="24"/>
      <c r="U13" s="24"/>
      <c r="V13" s="24"/>
      <c r="W13" s="24"/>
      <c r="X13" s="24"/>
      <c r="Y13" s="24"/>
      <c r="Z13" s="24" t="s">
        <v>15</v>
      </c>
      <c r="AA13" s="24" t="s">
        <v>15</v>
      </c>
      <c r="AB13" s="24" t="s">
        <v>15</v>
      </c>
      <c r="AC13" s="24" t="s">
        <v>15</v>
      </c>
      <c r="AD13" s="24" t="s">
        <v>15</v>
      </c>
      <c r="AF13" s="24" cm="1">
        <f t="array" ref="AF13">SUMPRODUCT(($C$11:$AD$11="Sat")+($C$11:$AD$11="Sun"),--(C13:AD13&lt;&gt;""))</f>
        <v>3</v>
      </c>
      <c r="AG13" s="24">
        <f t="shared" si="1"/>
        <v>1</v>
      </c>
      <c r="AH13" s="24">
        <f t="shared" si="2"/>
        <v>2</v>
      </c>
      <c r="AI13" s="24">
        <f t="shared" si="3"/>
        <v>12</v>
      </c>
      <c r="AJ13" s="24">
        <f t="shared" ref="AJ13:AJ17" si="4">SUM(AG13:AI13)</f>
        <v>15</v>
      </c>
    </row>
    <row r="14" ht="22" customHeight="1" spans="2:36">
      <c r="B14" s="23" t="s">
        <v>26</v>
      </c>
      <c r="C14" s="24"/>
      <c r="E14" s="24" t="s">
        <v>13</v>
      </c>
      <c r="F14" s="24"/>
      <c r="G14" s="24" t="s">
        <v>13</v>
      </c>
      <c r="H14" s="24"/>
      <c r="I14" s="24"/>
      <c r="J14" s="24" t="s">
        <v>11</v>
      </c>
      <c r="K14" s="24" t="s">
        <v>15</v>
      </c>
      <c r="L14" s="24" t="s">
        <v>15</v>
      </c>
      <c r="M14" s="24" t="s">
        <v>15</v>
      </c>
      <c r="N14" s="24" t="s">
        <v>15</v>
      </c>
      <c r="O14" s="24" t="s">
        <v>15</v>
      </c>
      <c r="P14" s="24" t="s">
        <v>11</v>
      </c>
      <c r="Q14" s="24" t="s">
        <v>11</v>
      </c>
      <c r="R14" s="24" t="s">
        <v>11</v>
      </c>
      <c r="S14" s="24" t="s">
        <v>11</v>
      </c>
      <c r="T14" s="24" t="s">
        <v>11</v>
      </c>
      <c r="U14" s="24" t="s">
        <v>11</v>
      </c>
      <c r="V14" s="24" t="s">
        <v>11</v>
      </c>
      <c r="W14" s="24"/>
      <c r="X14" s="24"/>
      <c r="Y14" s="24"/>
      <c r="Z14" s="24"/>
      <c r="AA14" s="24"/>
      <c r="AB14" s="24"/>
      <c r="AC14" s="24"/>
      <c r="AD14" s="24"/>
      <c r="AF14" s="24" cm="1">
        <f t="array" ref="AF14">SUMPRODUCT(($C$11:$AD$11="Sat")+($C$11:$AD$11="Sun"),--(C14:AD14&lt;&gt;""))</f>
        <v>3</v>
      </c>
      <c r="AG14" s="24">
        <f t="shared" si="1"/>
        <v>8</v>
      </c>
      <c r="AH14" s="24">
        <f t="shared" si="2"/>
        <v>2</v>
      </c>
      <c r="AI14" s="24">
        <f t="shared" si="3"/>
        <v>5</v>
      </c>
      <c r="AJ14" s="24">
        <f t="shared" si="4"/>
        <v>15</v>
      </c>
    </row>
    <row r="15" ht="22" customHeight="1" spans="2:36">
      <c r="B15" s="23" t="s">
        <v>27</v>
      </c>
      <c r="C15" s="24" t="s">
        <v>15</v>
      </c>
      <c r="D15" s="24"/>
      <c r="E15" s="24"/>
      <c r="F15" s="24"/>
      <c r="G15" s="24" t="s">
        <v>13</v>
      </c>
      <c r="H15" s="24"/>
      <c r="I15" s="24" t="s">
        <v>13</v>
      </c>
      <c r="J15" s="24" t="s">
        <v>15</v>
      </c>
      <c r="K15" s="24" t="s">
        <v>15</v>
      </c>
      <c r="L15" s="24" t="s">
        <v>15</v>
      </c>
      <c r="M15" s="24" t="s">
        <v>15</v>
      </c>
      <c r="N15" s="24" t="s">
        <v>15</v>
      </c>
      <c r="O15" s="24" t="s">
        <v>15</v>
      </c>
      <c r="P15" s="24" t="s">
        <v>11</v>
      </c>
      <c r="Q15" s="24" t="s">
        <v>15</v>
      </c>
      <c r="R15" s="24" t="s">
        <v>15</v>
      </c>
      <c r="S15" s="24" t="s">
        <v>15</v>
      </c>
      <c r="T15" s="24" t="s">
        <v>15</v>
      </c>
      <c r="U15" s="24" t="s">
        <v>15</v>
      </c>
      <c r="V15" s="24" t="s">
        <v>15</v>
      </c>
      <c r="W15" s="24" t="s">
        <v>11</v>
      </c>
      <c r="X15" s="24" t="s">
        <v>13</v>
      </c>
      <c r="Y15" s="24" t="s">
        <v>13</v>
      </c>
      <c r="Z15" s="24" t="s">
        <v>11</v>
      </c>
      <c r="AA15" s="24"/>
      <c r="AB15" s="24"/>
      <c r="AC15" s="24"/>
      <c r="AD15" s="24"/>
      <c r="AF15" s="24" cm="1">
        <f t="array" ref="AF15">SUMPRODUCT(($C$11:$AD$11="Sat")+($C$11:$AD$11="Sun"),--(C15:AD15&lt;&gt;""))</f>
        <v>7</v>
      </c>
      <c r="AG15" s="24">
        <f t="shared" si="1"/>
        <v>3</v>
      </c>
      <c r="AH15" s="24">
        <f t="shared" si="2"/>
        <v>4</v>
      </c>
      <c r="AI15" s="24">
        <f t="shared" si="3"/>
        <v>13</v>
      </c>
      <c r="AJ15" s="24">
        <f t="shared" si="4"/>
        <v>20</v>
      </c>
    </row>
    <row r="16" ht="22" customHeight="1" spans="2:36">
      <c r="B16" s="23" t="s">
        <v>28</v>
      </c>
      <c r="C16" s="24"/>
      <c r="D16" s="24"/>
      <c r="E16" s="24"/>
      <c r="F16" s="24"/>
      <c r="G16" s="24"/>
      <c r="H16" s="24"/>
      <c r="I16" s="24"/>
      <c r="J16" s="24" t="s">
        <v>13</v>
      </c>
      <c r="K16" s="24" t="s">
        <v>13</v>
      </c>
      <c r="L16" s="24" t="s">
        <v>13</v>
      </c>
      <c r="M16" s="30" t="s">
        <v>13</v>
      </c>
      <c r="N16" s="24" t="s">
        <v>13</v>
      </c>
      <c r="O16" s="24"/>
      <c r="P16" s="24" t="s">
        <v>11</v>
      </c>
      <c r="Q16" s="24"/>
      <c r="R16" s="24"/>
      <c r="S16" s="24"/>
      <c r="T16" s="24"/>
      <c r="U16" s="24"/>
      <c r="V16" s="24"/>
      <c r="W16" s="24" t="s">
        <v>15</v>
      </c>
      <c r="X16" s="24" t="s">
        <v>15</v>
      </c>
      <c r="Y16" s="24" t="s">
        <v>15</v>
      </c>
      <c r="Z16" s="24" t="s">
        <v>15</v>
      </c>
      <c r="AA16" s="24"/>
      <c r="AB16" s="24"/>
      <c r="AC16" s="24"/>
      <c r="AD16" s="24"/>
      <c r="AF16" s="24" cm="1">
        <f t="array" ref="AF16">SUMPRODUCT(($C$11:$AD$11="Sat")+($C$11:$AD$11="Sun"),--(C16:AD16&lt;&gt;""))</f>
        <v>4</v>
      </c>
      <c r="AG16" s="24">
        <f t="shared" si="1"/>
        <v>1</v>
      </c>
      <c r="AH16" s="24">
        <f t="shared" si="2"/>
        <v>5</v>
      </c>
      <c r="AI16" s="24">
        <f t="shared" si="3"/>
        <v>4</v>
      </c>
      <c r="AJ16" s="24">
        <f t="shared" si="4"/>
        <v>10</v>
      </c>
    </row>
    <row r="17" ht="22" customHeight="1" spans="2:36">
      <c r="B17" s="23" t="s">
        <v>29</v>
      </c>
      <c r="C17" s="24"/>
      <c r="D17" s="24" t="s">
        <v>11</v>
      </c>
      <c r="E17" s="24" t="s">
        <v>11</v>
      </c>
      <c r="F17" s="24" t="s">
        <v>11</v>
      </c>
      <c r="G17" s="24" t="s">
        <v>11</v>
      </c>
      <c r="H17" s="24"/>
      <c r="I17" s="24"/>
      <c r="J17" s="24"/>
      <c r="K17" s="24"/>
      <c r="L17" s="24"/>
      <c r="M17" s="24"/>
      <c r="N17" s="24"/>
      <c r="O17" s="24"/>
      <c r="P17" s="24" t="s">
        <v>11</v>
      </c>
      <c r="Q17" s="24"/>
      <c r="R17" s="24"/>
      <c r="S17" s="24"/>
      <c r="T17" s="24"/>
      <c r="U17" s="24"/>
      <c r="V17" s="24"/>
      <c r="W17" s="24" t="s">
        <v>13</v>
      </c>
      <c r="X17" s="24" t="s">
        <v>13</v>
      </c>
      <c r="Y17" s="24" t="s">
        <v>13</v>
      </c>
      <c r="Z17" s="24"/>
      <c r="AA17" s="24"/>
      <c r="AB17" s="24"/>
      <c r="AC17" s="24"/>
      <c r="AD17" s="24"/>
      <c r="AF17" s="24" cm="1">
        <f t="array" ref="AF17">SUMPRODUCT(($C$11:$AD$11="Sat")+($C$11:$AD$11="Sun"),--(C17:AD17&lt;&gt;""))</f>
        <v>3</v>
      </c>
      <c r="AG17" s="24">
        <f t="shared" si="1"/>
        <v>5</v>
      </c>
      <c r="AH17" s="24">
        <f t="shared" si="2"/>
        <v>3</v>
      </c>
      <c r="AI17" s="24">
        <f t="shared" si="3"/>
        <v>0</v>
      </c>
      <c r="AJ17" s="24">
        <f t="shared" si="4"/>
        <v>8</v>
      </c>
    </row>
    <row r="18" ht="22" customHeight="1" spans="2:35">
      <c r="B18" s="25" t="s">
        <v>30</v>
      </c>
      <c r="C18" s="26">
        <f>COUNTA(C12:C17)</f>
        <v>2</v>
      </c>
      <c r="D18" s="26">
        <f t="shared" ref="D18:AD18" si="5">COUNTA(D12:D17)</f>
        <v>2</v>
      </c>
      <c r="E18" s="26">
        <f t="shared" si="5"/>
        <v>4</v>
      </c>
      <c r="F18" s="26">
        <f t="shared" si="5"/>
        <v>2</v>
      </c>
      <c r="G18" s="26">
        <f t="shared" si="5"/>
        <v>5</v>
      </c>
      <c r="H18" s="26">
        <f t="shared" si="5"/>
        <v>0</v>
      </c>
      <c r="I18" s="26">
        <f t="shared" si="5"/>
        <v>1</v>
      </c>
      <c r="J18" s="26">
        <f t="shared" si="5"/>
        <v>4</v>
      </c>
      <c r="K18" s="26">
        <f t="shared" si="5"/>
        <v>5</v>
      </c>
      <c r="L18" s="26">
        <f t="shared" si="5"/>
        <v>5</v>
      </c>
      <c r="M18" s="26">
        <f t="shared" si="5"/>
        <v>5</v>
      </c>
      <c r="N18" s="26">
        <f t="shared" si="5"/>
        <v>5</v>
      </c>
      <c r="O18" s="26">
        <f t="shared" si="5"/>
        <v>4</v>
      </c>
      <c r="P18" s="26">
        <f t="shared" si="5"/>
        <v>5</v>
      </c>
      <c r="Q18" s="26">
        <f t="shared" si="5"/>
        <v>3</v>
      </c>
      <c r="R18" s="26">
        <f t="shared" si="5"/>
        <v>3</v>
      </c>
      <c r="S18" s="26">
        <f t="shared" si="5"/>
        <v>3</v>
      </c>
      <c r="T18" s="26">
        <f t="shared" si="5"/>
        <v>3</v>
      </c>
      <c r="U18" s="26">
        <f t="shared" si="5"/>
        <v>3</v>
      </c>
      <c r="V18" s="26">
        <f t="shared" si="5"/>
        <v>3</v>
      </c>
      <c r="W18" s="26">
        <f t="shared" si="5"/>
        <v>3</v>
      </c>
      <c r="X18" s="26">
        <f t="shared" si="5"/>
        <v>3</v>
      </c>
      <c r="Y18" s="26">
        <f t="shared" si="5"/>
        <v>3</v>
      </c>
      <c r="Z18" s="26">
        <f t="shared" si="5"/>
        <v>4</v>
      </c>
      <c r="AA18" s="26">
        <f t="shared" si="5"/>
        <v>2</v>
      </c>
      <c r="AB18" s="26">
        <f t="shared" si="5"/>
        <v>2</v>
      </c>
      <c r="AC18" s="26">
        <f t="shared" si="5"/>
        <v>2</v>
      </c>
      <c r="AD18" s="26">
        <f t="shared" si="5"/>
        <v>2</v>
      </c>
      <c r="AF18" s="24"/>
      <c r="AG18" s="24"/>
      <c r="AH18" s="24"/>
      <c r="AI18" s="24"/>
    </row>
    <row r="19" ht="16.75" customHeight="1" spans="2:30">
      <c r="B19" s="27" t="s">
        <v>31</v>
      </c>
      <c r="C19" s="28" t="str" cm="1">
        <f t="array" ref="C19">IF(MIN(COUNTIF(C12:C17,{"M","A","N"}))=0,"Missing","")</f>
        <v>Missing</v>
      </c>
      <c r="D19" s="28" t="str" cm="1">
        <f t="array" ref="D19">IF(MIN(COUNTIF(D12:D17,{"M","A","N"}))=0,"Missing","")</f>
        <v>Missing</v>
      </c>
      <c r="E19" s="28" t="str" cm="1">
        <f t="array" ref="E19">IF(MIN(COUNTIF(E12:E17,{"M","A","N"}))=0,"Missing","")</f>
        <v/>
      </c>
      <c r="F19" s="28" t="str" cm="1">
        <f t="array" ref="F19">IF(MIN(COUNTIF(F12:F17,{"M","A","N"}))=0,"Missing","")</f>
        <v>Missing</v>
      </c>
      <c r="G19" s="28" t="str" cm="1">
        <f t="array" ref="G19">IF(MIN(COUNTIF(G12:G17,{"M","A","N"}))=0,"Missing","")</f>
        <v/>
      </c>
      <c r="H19" s="28" t="str" cm="1">
        <f t="array" ref="H19">IF(MIN(COUNTIF(H12:H17,{"M","A","N"}))=0,"Missing","")</f>
        <v>Missing</v>
      </c>
      <c r="I19" s="28" t="str" cm="1">
        <f t="array" ref="I19">IF(MIN(COUNTIF(I12:I17,{"M","A","N"}))=0,"Missing","")</f>
        <v>Missing</v>
      </c>
      <c r="J19" s="28" t="str" cm="1">
        <f t="array" ref="J19">IF(MIN(COUNTIF(J12:J17,{"M","A","N"}))=0,"Missing","")</f>
        <v/>
      </c>
      <c r="K19" s="28" t="str" cm="1">
        <f t="array" ref="K19">IF(MIN(COUNTIF(K12:K17,{"M","A","N"}))=0,"Missing","")</f>
        <v/>
      </c>
      <c r="L19" s="28" t="str" cm="1">
        <f t="array" ref="L19">IF(MIN(COUNTIF(L12:L17,{"M","A","N"}))=0,"Missing","")</f>
        <v/>
      </c>
      <c r="M19" s="28" t="str" cm="1">
        <f t="array" ref="M19">IF(MIN(COUNTIF(M12:M17,{"M","A","N"}))=0,"Missing","")</f>
        <v/>
      </c>
      <c r="N19" s="28" t="str" cm="1">
        <f t="array" ref="N19">IF(MIN(COUNTIF(N12:N17,{"M","A","N"}))=0,"Missing","")</f>
        <v/>
      </c>
      <c r="O19" s="28" t="str" cm="1">
        <f t="array" ref="O19">IF(MIN(COUNTIF(O12:O17,{"M","A","N"}))=0,"Missing","")</f>
        <v>Missing</v>
      </c>
      <c r="P19" s="28" t="str" cm="1">
        <f t="array" ref="P19">IF(MIN(COUNTIF(P12:P17,{"M","A","N"}))=0,"Missing","")</f>
        <v>Missing</v>
      </c>
      <c r="Q19" s="28" t="str" cm="1">
        <f t="array" ref="Q19">IF(MIN(COUNTIF(Q12:Q17,{"M","A","N"}))=0,"Missing","")</f>
        <v/>
      </c>
      <c r="R19" s="28" t="str" cm="1">
        <f t="array" ref="R19">IF(MIN(COUNTIF(R12:R17,{"M","A","N"}))=0,"Missing","")</f>
        <v/>
      </c>
      <c r="S19" s="28" t="str" cm="1">
        <f t="array" ref="S19">IF(MIN(COUNTIF(S12:S17,{"M","A","N"}))=0,"Missing","")</f>
        <v/>
      </c>
      <c r="T19" s="28" t="str" cm="1">
        <f t="array" ref="T19">IF(MIN(COUNTIF(T12:T17,{"M","A","N"}))=0,"Missing","")</f>
        <v/>
      </c>
      <c r="U19" s="28" t="str" cm="1">
        <f t="array" ref="U19">IF(MIN(COUNTIF(U12:U17,{"M","A","N"}))=0,"Missing","")</f>
        <v/>
      </c>
      <c r="V19" s="28" t="str" cm="1">
        <f t="array" ref="V19">IF(MIN(COUNTIF(V12:V17,{"M","A","N"}))=0,"Missing","")</f>
        <v/>
      </c>
      <c r="W19" s="28" t="str" cm="1">
        <f t="array" ref="W19">IF(MIN(COUNTIF(W12:W17,{"M","A","N"}))=0,"Missing","")</f>
        <v/>
      </c>
      <c r="X19" s="28" t="str" cm="1">
        <f t="array" ref="X19">IF(MIN(COUNTIF(X12:X17,{"M","A","N"}))=0,"Missing","")</f>
        <v>Missing</v>
      </c>
      <c r="Y19" s="28" t="str" cm="1">
        <f t="array" ref="Y19">IF(MIN(COUNTIF(Y12:Y17,{"M","A","N"}))=0,"Missing","")</f>
        <v>Missing</v>
      </c>
      <c r="Z19" s="28" t="str" cm="1">
        <f t="array" ref="Z19">IF(MIN(COUNTIF(Z12:Z17,{"M","A","N"}))=0,"Missing","")</f>
        <v>Missing</v>
      </c>
      <c r="AA19" s="28" t="str" cm="1">
        <f t="array" ref="AA19">IF(MIN(COUNTIF(AA12:AA17,{"M","A","N"}))=0,"Missing","")</f>
        <v>Missing</v>
      </c>
      <c r="AB19" s="28" t="str" cm="1">
        <f t="array" ref="AB19">IF(MIN(COUNTIF(AB12:AB17,{"M","A","N"}))=0,"Missing","")</f>
        <v>Missing</v>
      </c>
      <c r="AC19" s="28" t="str" cm="1">
        <f t="array" ref="AC19">IF(MIN(COUNTIF(AC12:AC17,{"M","A","N"}))=0,"Missing","")</f>
        <v>Missing</v>
      </c>
      <c r="AD19" s="28" t="str" cm="1">
        <f t="array" ref="AD19">IF(MIN(COUNTIF(AD12:AD17,{"M","A","N"}))=0,"Missing","")</f>
        <v>Missing</v>
      </c>
    </row>
    <row r="21" spans="2:2">
      <c r="B21" s="2"/>
    </row>
    <row r="22" spans="2:2">
      <c r="B22" s="2"/>
    </row>
    <row r="23" spans="2:2">
      <c r="B23" s="2"/>
    </row>
    <row r="24" spans="2:2">
      <c r="B24" s="2"/>
    </row>
  </sheetData>
  <mergeCells count="1">
    <mergeCell ref="AF10:AJ10"/>
  </mergeCells>
  <conditionalFormatting sqref="AF12:AF17">
    <cfRule type="dataBar" priority="1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{2a2a0ce3-1692-4f91-b0f7-70d91eaa1944}</x14:id>
        </ext>
      </extLst>
    </cfRule>
  </conditionalFormatting>
  <conditionalFormatting sqref="AJ12:AJ17">
    <cfRule type="dataBar" priority="2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{7797f0de-9efd-41f7-a6ae-e6b3773818fd}</x14:id>
        </ext>
      </extLst>
    </cfRule>
  </conditionalFormatting>
  <conditionalFormatting sqref="C12:N13 K12:AD14 C14 E14:I14 J14:N15 O15:V15 C15:I16 W15:AD17 J16:V16 C17:V17">
    <cfRule type="cellIs" dxfId="1" priority="3" operator="equal">
      <formula>"M"</formula>
    </cfRule>
    <cfRule type="cellIs" dxfId="2" priority="4" operator="equal">
      <formula>"A"</formula>
    </cfRule>
    <cfRule type="cellIs" dxfId="3" priority="5" operator="equal">
      <formula>"N"</formula>
    </cfRule>
  </conditionalFormatting>
  <dataValidations count="1">
    <dataValidation type="list" allowBlank="1" showInputMessage="1" showErrorMessage="1" sqref="F16:G16 D17:G17 C14:C17 D15:D16 E14:E16 J14:J17 F14:I15 C12:J13 H16:I17 K12:AD17">
      <formula1>$D$6:$D$8</formula1>
    </dataValidation>
  </dataValidations>
  <pageMargins left="0.7" right="0.7" top="0.75" bottom="0.75" header="0.3" footer="0.3"/>
  <pageSetup paperSize="1" orientation="portrait"/>
  <headerFooter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2a2a0ce3-1692-4f91-b0f7-70d91eaa1944}">
            <x14:dataBar minLength="0" maxLength="100" border="1" negativeBarBorderColorSameAsPositive="0">
              <x14:cfvo type="autoMin"/>
              <x14:cfvo type="autoMax"/>
              <x14:borderColor rgb="FFFFB628"/>
              <x14:negativeFillColor rgb="FFFF0000"/>
              <x14:negativeBorderColor rgb="FFFF0000"/>
              <x14:axisColor rgb="FF000000"/>
            </x14:dataBar>
          </x14:cfRule>
          <xm:sqref>AF12:AF17</xm:sqref>
        </x14:conditionalFormatting>
        <x14:conditionalFormatting xmlns:xm="http://schemas.microsoft.com/office/excel/2006/main">
          <x14:cfRule type="dataBar" id="{7797f0de-9efd-41f7-a6ae-e6b3773818fd}">
            <x14:dataBar minLength="0" maxLength="100" border="1" negativeBarBorderColorSameAsPositive="0">
              <x14:cfvo type="autoMin"/>
              <x14:cfvo type="autoMax"/>
              <x14:borderColor rgb="FFFFB628"/>
              <x14:negativeFillColor rgb="FFFF0000"/>
              <x14:negativeBorderColor rgb="FFFF0000"/>
              <x14:axisColor rgb="FF000000"/>
            </x14:dataBar>
          </x14:cfRule>
          <xm:sqref>AJ12:AJ17</xm:sqref>
        </x14:conditionalFormatting>
      </x14:conditionalFormattings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allowEditUser xmlns="https://web.wps.cn/et/2018/main" xmlns:s="http://schemas.openxmlformats.org/spreadsheetml/2006/main" hasInvisiblePropRange="0">
  <rangeList sheetStid="5" master="" otherUserPermission="visible"/>
  <rangeList sheetStid="1" master="" otherUserPermission="visible"/>
  <rangeList sheetStid="4" master="" otherUserPermission="visible"/>
</allowEditUser>
</file>

<file path=customXml/itemProps1.xml><?xml version="1.0" encoding="utf-8"?>
<ds:datastoreItem xmlns:ds="http://schemas.openxmlformats.org/officeDocument/2006/customXml" ds:itemID="{5A5607D9-04D2-4DE1-AC0E-A7772F01BC71}">
  <ds:schemaRefs>
    <ds:schemaRef ds:uri="https://web.wps.cn/et/2018/main"/>
    <ds:schemaRef ds:uri="http://schemas.openxmlformats.org/spreadsheetml/2006/main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Cover Page</vt:lpstr>
      <vt:lpstr>January</vt:lpstr>
      <vt:lpstr>February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Kenji Farre</dc:creator>
  <cp:lastModifiedBy>Dev Mehta</cp:lastModifiedBy>
  <dcterms:created xsi:type="dcterms:W3CDTF">2025-12-30T23:26:00Z</dcterms:created>
  <cp:lastPrinted>2025-12-31T00:12:00Z</cp:lastPrinted>
  <dcterms:modified xsi:type="dcterms:W3CDTF">2026-02-01T10:38:58Z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5928E2D7C61D4CEFB7A00F9DA1AFF551_12</vt:lpwstr>
  </property>
  <property fmtid="{D5CDD505-2E9C-101B-9397-08002B2CF9AE}" pid="3" name="KSOProductBuildVer">
    <vt:lpwstr>1033-12.2.0.23196</vt:lpwstr>
  </property>
</Properties>
</file>